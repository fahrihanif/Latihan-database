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agas\OneDrive\Desktop\Maganghub X MII\"/>
    </mc:Choice>
  </mc:AlternateContent>
  <xr:revisionPtr revIDLastSave="0" documentId="13_ncr:1_{41F3C872-455C-4302-8566-3BBF338C8E58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Petunjuk" sheetId="1" r:id="rId1"/>
    <sheet name="1_UNF" sheetId="2" r:id="rId2"/>
    <sheet name="2_1NF" sheetId="3" r:id="rId3"/>
    <sheet name="3_2NF" sheetId="4" r:id="rId4"/>
    <sheet name="4_3NF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4" i="3" l="1"/>
  <c r="M15" i="3"/>
  <c r="M16" i="3"/>
  <c r="M17" i="3"/>
  <c r="M18" i="3"/>
  <c r="M19" i="3"/>
  <c r="M20" i="3"/>
  <c r="M21" i="3"/>
  <c r="M22" i="3"/>
  <c r="M23" i="3"/>
  <c r="M1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Trainer</author>
  </authors>
  <commentList>
    <comment ref="M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Nilai tertulis di faktur asli (data sumber). Nilai ini dipertahankan sampai 3NF, lalu di sheet 4_3NF dibuktikan bahwa nilainya bisa dihitung ulang dari Qty × Harga.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Trainer</author>
  </authors>
  <commentList>
    <comment ref="G13" authorId="0" shapeId="0" xr:uid="{5BC63969-EDE8-433A-8A02-753ABC4FC765}">
      <text>
        <r>
          <rPr>
            <sz val="11"/>
            <color theme="1"/>
            <rFont val="Calibri"/>
            <family val="2"/>
            <scheme val="minor"/>
          </rPr>
          <t>Nilai tertulis di faktur asli (data sumber). Nilai ini dipertahankan sampai 3NF, lalu di sheet 4_3NF dibuktikan bahwa nilainya bisa dihitung ulang dari Qty × Harga.</t>
        </r>
      </text>
    </comment>
  </commentList>
</comments>
</file>

<file path=xl/sharedStrings.xml><?xml version="1.0" encoding="utf-8"?>
<sst xmlns="http://schemas.openxmlformats.org/spreadsheetml/2006/main" count="363" uniqueCount="135">
  <si>
    <t>Latihan Normalisasi SalesDB — dari data faktur (UNF) sampai 3NF</t>
  </si>
  <si>
    <t>Tujuan: peserta dan trainer mendiskusikan normalisasi data penjualan hingga menghasilkan rancangan SalesDB.</t>
  </si>
  <si>
    <t>Skenario: sebuah toko mencatat penjualan di spreadsheet, satu baris per faktur. Satu faktur bisa berisi beberapa produk.</t>
  </si>
  <si>
    <t>Data ini disalin apa adanya dari faktur, sehingga satu sel bisa berisi beberapa nilai (dipisah baris baru).</t>
  </si>
  <si>
    <t>Urutan sheet:</t>
  </si>
  <si>
    <t xml:space="preserve">  1_UNF        — data mentah (unnormalized form)</t>
  </si>
  <si>
    <t xml:space="preserve">  2_1NF, 3_2NF, 4_3NF — tempat kamu mengerjakan setiap tahap</t>
  </si>
  <si>
    <t>Alur setiap tahap:</t>
  </si>
  <si>
    <t xml:space="preserve">  1. Dengarkan teori dari trainer.</t>
  </si>
  <si>
    <t xml:space="preserve">  2. Kerjakan tahap tersebut di sheet-nya. Mulailah dari hasil tahap sebelumnya yang SUDAH kamu koreksi</t>
  </si>
  <si>
    <t xml:space="preserve">     (salin tabelnya ke sheet baru, lalu perbaiki).</t>
  </si>
  <si>
    <t xml:space="preserve">  3. Saat waktu habis, trainer menampilkan versi yang benar.</t>
  </si>
  <si>
    <t xml:space="preserve">  4. Koreksi pekerjaanmu sendiri dan perbaiki sampai sama dengan versi trainer sebelum lanjut ke tahap berikutnya.</t>
  </si>
  <si>
    <t>Di setiap sheet tahap, isi juga bagian 'Catatan saya' (primary key, functional dependency, alasan perubahan).</t>
  </si>
  <si>
    <t>Legenda warna</t>
  </si>
  <si>
    <t>Header kolom</t>
  </si>
  <si>
    <t>Primary key</t>
  </si>
  <si>
    <t>Foreign key</t>
  </si>
  <si>
    <t>Primary key sekaligus foreign key</t>
  </si>
  <si>
    <t>Sel berwarna kuning adalah tempat mengisi jawaban.</t>
  </si>
  <si>
    <t>Tahap 0 — Unnormalized Form (UNF): satu baris per faktur</t>
  </si>
  <si>
    <t>Data penjualan (disalin dari faktur)</t>
  </si>
  <si>
    <t>No Faktur</t>
  </si>
  <si>
    <t>Tanggal</t>
  </si>
  <si>
    <t>Kode Pelanggan</t>
  </si>
  <si>
    <t>Nama Pelanggan</t>
  </si>
  <si>
    <t>Email</t>
  </si>
  <si>
    <t>Kota</t>
  </si>
  <si>
    <t>Kode Produk</t>
  </si>
  <si>
    <t>Nama Produk</t>
  </si>
  <si>
    <t>Kode Kategori</t>
  </si>
  <si>
    <t>Nama Kategori</t>
  </si>
  <si>
    <t>Qty</t>
  </si>
  <si>
    <t>Harga Satuan (Rp)</t>
  </si>
  <si>
    <t>Total Faktur (Rp)</t>
  </si>
  <si>
    <t>INV-001</t>
  </si>
  <si>
    <t>C001</t>
  </si>
  <si>
    <t>Budi Santoso</t>
  </si>
  <si>
    <t>budi@mail.com</t>
  </si>
  <si>
    <t>Jakarta</t>
  </si>
  <si>
    <t>P001
P005</t>
  </si>
  <si>
    <t>Monitor 24 inci
Mouse Wireless</t>
  </si>
  <si>
    <t>K01
K03</t>
  </si>
  <si>
    <t>Elektronik
Aksesoris Komputer</t>
  </si>
  <si>
    <t>1
2</t>
  </si>
  <si>
    <t>1.850.000
150.000</t>
  </si>
  <si>
    <t>INV-002</t>
  </si>
  <si>
    <t>C002</t>
  </si>
  <si>
    <t>Siti Aminah</t>
  </si>
  <si>
    <t>siti@mail.com</t>
  </si>
  <si>
    <t>Bandung</t>
  </si>
  <si>
    <t>P006
P005</t>
  </si>
  <si>
    <t>Keyboard Mekanik
Mouse Wireless</t>
  </si>
  <si>
    <t>K03
K03</t>
  </si>
  <si>
    <t>Aksesoris Komputer
Aksesoris Komputer</t>
  </si>
  <si>
    <t>1
1</t>
  </si>
  <si>
    <t>750.000
150.000</t>
  </si>
  <si>
    <t>INV-003</t>
  </si>
  <si>
    <t>C003</t>
  </si>
  <si>
    <t>Andi Wijaya</t>
  </si>
  <si>
    <t>andi@mail.com</t>
  </si>
  <si>
    <t>Surabaya</t>
  </si>
  <si>
    <t>P002</t>
  </si>
  <si>
    <t>Headset USB</t>
  </si>
  <si>
    <t>K01</t>
  </si>
  <si>
    <t>Elektronik</t>
  </si>
  <si>
    <t>3</t>
  </si>
  <si>
    <t>350.000</t>
  </si>
  <si>
    <t>INV-004</t>
  </si>
  <si>
    <t>P003
P004</t>
  </si>
  <si>
    <t>Buku Catatan A5
Pulpen Gel (isi 12)</t>
  </si>
  <si>
    <t>K02
K02</t>
  </si>
  <si>
    <t>Alat Tulis
Alat Tulis</t>
  </si>
  <si>
    <t>10
2</t>
  </si>
  <si>
    <t>25.000
48.000</t>
  </si>
  <si>
    <t>INV-005</t>
  </si>
  <si>
    <t>P002
P003
P004</t>
  </si>
  <si>
    <t>Headset USB
Buku Catatan A5
Pulpen Gel (isi 12)</t>
  </si>
  <si>
    <t>K01
K02
K02</t>
  </si>
  <si>
    <t>Elektronik
Alat Tulis
Alat Tulis</t>
  </si>
  <si>
    <t>1
5
1</t>
  </si>
  <si>
    <t>375.000
25.000
48.000</t>
  </si>
  <si>
    <t>INV-006</t>
  </si>
  <si>
    <t>P001
P006</t>
  </si>
  <si>
    <t>Monitor 24 inci
Keyboard Mekanik</t>
  </si>
  <si>
    <t>2
1</t>
  </si>
  <si>
    <t>1.850.000
750.000</t>
  </si>
  <si>
    <t>Tahap 1 — First Normal Form (1NF)</t>
  </si>
  <si>
    <t>Mulai dari data sheet 1_UNF. Salin tabelnya ke area kerja di bawah, lalu perbaiki sesuai aturan tahap ini.</t>
  </si>
  <si>
    <t>Tandai kolom primary key dengan '(PK)' dan foreign key dengan '(FK)' di nama kolomnya.</t>
  </si>
  <si>
    <t>Catatan saya</t>
  </si>
  <si>
    <t>contoh format: (Kolom A, Kolom B)</t>
  </si>
  <si>
    <t>Functional dependency</t>
  </si>
  <si>
    <t>contoh format: A → B, C</t>
  </si>
  <si>
    <t>Apa yang saya ubah dan alasannya</t>
  </si>
  <si>
    <t>Area kerja (mulai dari sel A11)</t>
  </si>
  <si>
    <t>Tahap 2 — Second Normal Form (2NF)</t>
  </si>
  <si>
    <t>Mulai dari hasil 1NF yang sudah kamu koreksi. Salin tabelnya ke area kerja di bawah, lalu perbaiki sesuai aturan tahap ini.</t>
  </si>
  <si>
    <t>Tahap 3 — Third Normal Form (3NF)</t>
  </si>
  <si>
    <t>Mulai dari hasil 2NF yang sudah kamu koreksi. Salin tabelnya ke area kerja di bawah, lalu perbaiki sesuai aturan tahap ini.</t>
  </si>
  <si>
    <t xml:space="preserve">Catatan: </t>
  </si>
  <si>
    <t>Data pelanggan berulang</t>
  </si>
  <si>
    <t>Data produk berulang</t>
  </si>
  <si>
    <t>Perhitungan total rawan kesalahan</t>
  </si>
  <si>
    <t>Sulit melakukan pencarian data</t>
  </si>
  <si>
    <t>Sulit membuat laporan</t>
  </si>
  <si>
    <t>No Faktur (PK/FK)</t>
  </si>
  <si>
    <t>Kode Produk (PK/FK)</t>
  </si>
  <si>
    <t>P001</t>
  </si>
  <si>
    <t>Monitor 24 inci</t>
  </si>
  <si>
    <t>1.850.000</t>
  </si>
  <si>
    <t>P005</t>
  </si>
  <si>
    <t>Mouse Wireless</t>
  </si>
  <si>
    <t>K03</t>
  </si>
  <si>
    <t>Aksesoris Komputer</t>
  </si>
  <si>
    <t>P006</t>
  </si>
  <si>
    <t>Keyboard Mekanik</t>
  </si>
  <si>
    <t>P003</t>
  </si>
  <si>
    <t>Buku Catatan A5</t>
  </si>
  <si>
    <t>K02</t>
  </si>
  <si>
    <t>Alat Tulis</t>
  </si>
  <si>
    <t>P004</t>
  </si>
  <si>
    <t>Pulpen Gel (isi 12)</t>
  </si>
  <si>
    <t>No Faktur, Kode Produk</t>
  </si>
  <si>
    <t>(No Faktur, Kode Produk) → Tanggal, Kode Pelanggan, Nama Pelanggan, Email, Kota, Nama Produk, Kode Kategori, Nama Kategori, Qty, Harga Satuan</t>
  </si>
  <si>
    <t>Memecah sel yang memiliki nilai jamak alasannya Memenuhi syarat 1NF, yaitu memastikan setiap sel berisi nilai atomik</t>
  </si>
  <si>
    <t>Tabel Faktur</t>
  </si>
  <si>
    <t>Tabel Produk</t>
  </si>
  <si>
    <t>No Faktur (PK)</t>
  </si>
  <si>
    <t>Kode Produk (PK)</t>
  </si>
  <si>
    <t>Tabel Detail Faktur</t>
  </si>
  <si>
    <t>No Faktur, Kode Produk, (No faktur, kode produk)</t>
  </si>
  <si>
    <t>No faktur : tanggal, kode pelanggan, nama pelanggan, email, kota. Kode Produk : Nama Produk, Kode Kategori, Nama Kategori. (No faktur, kode produk): Qty, Harga Satuan.</t>
  </si>
  <si>
    <t>Memecah 1NF menjadi 3 tabel dengan menghilangkan partial depedency</t>
  </si>
  <si>
    <t xml:space="preserve">Tabel Pelanggan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</si>
</sst>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\-yyyy"/>
    <numFmt numFmtId="165" formatCode="[$Rp-421]#,##0.00"/>
    <numFmt numFmtId="166" formatCode="[$Rp-421]#,##0"/>
  </numFmts>
  <fonts count="17">
    <font>
      <sz val="11"/>
      <color theme="1"/>
      <name val="Calibri"/>
      <family val="2"/>
      <scheme val="minor"/>
    </font>
    <font>
      <b/>
      <sz val="14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b/>
      <sz val="13"/>
      <name val="Arial"/>
    </font>
    <font>
      <b/>
      <sz val="11"/>
      <color rgb="FFFFFFFF"/>
      <name val="Arial"/>
    </font>
    <font>
      <b/>
      <sz val="11"/>
      <name val="Arial"/>
    </font>
    <font>
      <i/>
      <sz val="9"/>
      <color rgb="FF808080"/>
      <name val="Arial"/>
    </font>
    <font>
      <i/>
      <sz val="10"/>
      <name val="Arial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1"/>
      <name val="Arial"/>
      <family val="2"/>
    </font>
    <font>
      <b/>
      <u/>
      <sz val="11"/>
      <color rgb="FFFFFFFF"/>
      <name val="Arial"/>
      <family val="2"/>
    </font>
    <font>
      <i/>
      <sz val="9"/>
      <color rgb="FF808080"/>
      <name val="Arial"/>
      <family val="2"/>
    </font>
    <font>
      <sz val="8"/>
      <name val="Calibri"/>
      <family val="2"/>
      <scheme val="minor"/>
    </font>
    <font>
      <b/>
      <sz val="11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E699"/>
      </patternFill>
    </fill>
    <fill>
      <patternFill patternType="solid">
        <fgColor rgb="FFC6E0B4"/>
      </patternFill>
    </fill>
    <fill>
      <patternFill patternType="solid">
        <fgColor rgb="FFF8CBAD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9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3" fontId="4" fillId="0" borderId="1" xfId="0" applyNumberFormat="1" applyFont="1" applyBorder="1" applyAlignment="1">
      <alignment vertical="top" wrapText="1"/>
    </xf>
    <xf numFmtId="0" fontId="7" fillId="0" borderId="0" xfId="0" applyFont="1"/>
    <xf numFmtId="0" fontId="0" fillId="6" borderId="1" xfId="0" applyFill="1" applyBorder="1"/>
    <xf numFmtId="0" fontId="8" fillId="0" borderId="0" xfId="0" applyFont="1"/>
    <xf numFmtId="0" fontId="0" fillId="6" borderId="0" xfId="0" applyFill="1"/>
    <xf numFmtId="0" fontId="0" fillId="0" borderId="0" xfId="0" applyAlignment="1">
      <alignment horizontal="center"/>
    </xf>
    <xf numFmtId="0" fontId="0" fillId="0" borderId="0" xfId="0" applyAlignment="1">
      <alignment vertical="top"/>
    </xf>
    <xf numFmtId="0" fontId="10" fillId="0" borderId="0" xfId="0" applyFont="1"/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1" fillId="0" borderId="0" xfId="0" applyFont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2" fillId="0" borderId="1" xfId="0" applyFont="1" applyBorder="1" applyAlignment="1">
      <alignment vertical="top" wrapText="1"/>
    </xf>
    <xf numFmtId="0" fontId="13" fillId="2" borderId="1" xfId="0" applyFont="1" applyFill="1" applyBorder="1" applyAlignment="1">
      <alignment horizontal="center" vertical="center" wrapText="1"/>
    </xf>
    <xf numFmtId="0" fontId="0" fillId="8" borderId="0" xfId="0" applyFill="1" applyAlignment="1">
      <alignment wrapText="1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5" fontId="6" fillId="2" borderId="1" xfId="0" applyNumberFormat="1" applyFont="1" applyFill="1" applyBorder="1" applyAlignment="1">
      <alignment horizontal="center" vertical="center" wrapText="1"/>
    </xf>
    <xf numFmtId="166" fontId="0" fillId="0" borderId="0" xfId="0" applyNumberFormat="1"/>
    <xf numFmtId="0" fontId="10" fillId="6" borderId="0" xfId="0" applyFont="1" applyFill="1"/>
    <xf numFmtId="0" fontId="14" fillId="0" borderId="0" xfId="0" applyFont="1"/>
    <xf numFmtId="0" fontId="4" fillId="0" borderId="1" xfId="0" applyFont="1" applyBorder="1" applyAlignment="1">
      <alignment horizontal="center" vertical="top" wrapText="1"/>
    </xf>
    <xf numFmtId="0" fontId="16" fillId="2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right"/>
    </xf>
    <xf numFmtId="0" fontId="0" fillId="6" borderId="1" xfId="0" applyFill="1" applyBorder="1" applyAlignment="1">
      <alignment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"/>
  <sheetViews>
    <sheetView workbookViewId="0"/>
  </sheetViews>
  <sheetFormatPr defaultRowHeight="14.4"/>
  <cols>
    <col min="1" max="1" width="16" customWidth="1"/>
    <col min="2" max="2" width="40" customWidth="1"/>
  </cols>
  <sheetData>
    <row r="1" spans="1:1" ht="17.399999999999999">
      <c r="A1" s="1" t="s">
        <v>0</v>
      </c>
    </row>
    <row r="3" spans="1:1">
      <c r="A3" s="2" t="s">
        <v>1</v>
      </c>
    </row>
    <row r="4" spans="1:1">
      <c r="A4" s="2"/>
    </row>
    <row r="5" spans="1:1">
      <c r="A5" s="2" t="s">
        <v>2</v>
      </c>
    </row>
    <row r="6" spans="1:1">
      <c r="A6" s="2" t="s">
        <v>3</v>
      </c>
    </row>
    <row r="7" spans="1:1">
      <c r="A7" s="2"/>
    </row>
    <row r="8" spans="1:1">
      <c r="A8" s="2" t="s">
        <v>4</v>
      </c>
    </row>
    <row r="9" spans="1:1">
      <c r="A9" s="2" t="s">
        <v>5</v>
      </c>
    </row>
    <row r="10" spans="1:1">
      <c r="A10" s="2" t="s">
        <v>6</v>
      </c>
    </row>
    <row r="11" spans="1:1">
      <c r="A11" s="2"/>
    </row>
    <row r="12" spans="1:1">
      <c r="A12" s="2" t="s">
        <v>7</v>
      </c>
    </row>
    <row r="13" spans="1:1">
      <c r="A13" s="2" t="s">
        <v>8</v>
      </c>
    </row>
    <row r="14" spans="1:1">
      <c r="A14" s="2" t="s">
        <v>9</v>
      </c>
    </row>
    <row r="15" spans="1:1">
      <c r="A15" s="2" t="s">
        <v>10</v>
      </c>
    </row>
    <row r="16" spans="1:1">
      <c r="A16" s="2" t="s">
        <v>11</v>
      </c>
    </row>
    <row r="17" spans="1:2">
      <c r="A17" s="2" t="s">
        <v>12</v>
      </c>
    </row>
    <row r="18" spans="1:2">
      <c r="A18" s="2"/>
    </row>
    <row r="19" spans="1:2">
      <c r="A19" s="2" t="s">
        <v>13</v>
      </c>
    </row>
    <row r="21" spans="1:2">
      <c r="A21" s="3" t="s">
        <v>14</v>
      </c>
    </row>
    <row r="22" spans="1:2">
      <c r="A22" s="4"/>
      <c r="B22" s="5" t="s">
        <v>15</v>
      </c>
    </row>
    <row r="23" spans="1:2">
      <c r="A23" s="6"/>
      <c r="B23" s="5" t="s">
        <v>16</v>
      </c>
    </row>
    <row r="24" spans="1:2">
      <c r="A24" s="7"/>
      <c r="B24" s="5" t="s">
        <v>17</v>
      </c>
    </row>
    <row r="25" spans="1:2">
      <c r="A25" s="8"/>
      <c r="B25" s="5" t="s">
        <v>18</v>
      </c>
    </row>
    <row r="27" spans="1:2">
      <c r="A27" s="9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7"/>
  <sheetViews>
    <sheetView workbookViewId="0">
      <selection activeCell="L4" sqref="L4"/>
    </sheetView>
  </sheetViews>
  <sheetFormatPr defaultRowHeight="14.4"/>
  <cols>
    <col min="1" max="1" width="11" customWidth="1"/>
    <col min="2" max="2" width="12" customWidth="1"/>
    <col min="3" max="3" width="10" customWidth="1"/>
    <col min="4" max="4" width="15" customWidth="1"/>
    <col min="5" max="5" width="16" customWidth="1"/>
    <col min="6" max="7" width="10" customWidth="1"/>
    <col min="8" max="8" width="20" customWidth="1"/>
    <col min="9" max="9" width="10" customWidth="1"/>
    <col min="10" max="10" width="18" customWidth="1"/>
    <col min="11" max="11" width="6" customWidth="1"/>
    <col min="12" max="12" width="13" customWidth="1"/>
    <col min="13" max="13" width="14" customWidth="1"/>
    <col min="16" max="17" width="12.77734375" customWidth="1"/>
  </cols>
  <sheetData>
    <row r="1" spans="1:17" ht="16.8">
      <c r="A1" s="10" t="s">
        <v>20</v>
      </c>
    </row>
    <row r="3" spans="1:17">
      <c r="A3" s="3" t="s">
        <v>21</v>
      </c>
    </row>
    <row r="4" spans="1:17" ht="41.4">
      <c r="A4" s="11" t="s">
        <v>22</v>
      </c>
      <c r="B4" s="11" t="s">
        <v>23</v>
      </c>
      <c r="C4" s="11" t="s">
        <v>24</v>
      </c>
      <c r="D4" s="11" t="s">
        <v>25</v>
      </c>
      <c r="E4" s="11" t="s">
        <v>26</v>
      </c>
      <c r="F4" s="11" t="s">
        <v>27</v>
      </c>
      <c r="G4" s="11" t="s">
        <v>28</v>
      </c>
      <c r="H4" s="11" t="s">
        <v>29</v>
      </c>
      <c r="I4" s="11" t="s">
        <v>30</v>
      </c>
      <c r="J4" s="11" t="s">
        <v>31</v>
      </c>
      <c r="K4" s="11" t="s">
        <v>32</v>
      </c>
      <c r="L4" s="11" t="s">
        <v>33</v>
      </c>
      <c r="M4" s="11" t="s">
        <v>34</v>
      </c>
      <c r="O4" s="26"/>
      <c r="P4" s="26"/>
      <c r="Q4" s="26"/>
    </row>
    <row r="5" spans="1:17" ht="48" customHeight="1">
      <c r="A5" s="12" t="s">
        <v>35</v>
      </c>
      <c r="B5" s="13">
        <v>46266</v>
      </c>
      <c r="C5" s="12" t="s">
        <v>36</v>
      </c>
      <c r="D5" s="12" t="s">
        <v>37</v>
      </c>
      <c r="E5" s="12" t="s">
        <v>38</v>
      </c>
      <c r="F5" s="12" t="s">
        <v>39</v>
      </c>
      <c r="G5" s="27" t="s">
        <v>40</v>
      </c>
      <c r="H5" s="12" t="s">
        <v>41</v>
      </c>
      <c r="I5" s="12" t="s">
        <v>42</v>
      </c>
      <c r="J5" s="12" t="s">
        <v>43</v>
      </c>
      <c r="K5" s="12" t="s">
        <v>44</v>
      </c>
      <c r="L5" s="12" t="s">
        <v>45</v>
      </c>
      <c r="M5" s="14">
        <v>2150000</v>
      </c>
      <c r="O5" s="25"/>
      <c r="P5" s="42"/>
      <c r="Q5" s="42"/>
    </row>
    <row r="6" spans="1:17" ht="48" customHeight="1">
      <c r="A6" s="12" t="s">
        <v>46</v>
      </c>
      <c r="B6" s="13">
        <v>46275</v>
      </c>
      <c r="C6" s="12" t="s">
        <v>47</v>
      </c>
      <c r="D6" s="12" t="s">
        <v>48</v>
      </c>
      <c r="E6" s="12" t="s">
        <v>49</v>
      </c>
      <c r="F6" s="12" t="s">
        <v>50</v>
      </c>
      <c r="G6" s="12" t="s">
        <v>51</v>
      </c>
      <c r="H6" s="12" t="s">
        <v>52</v>
      </c>
      <c r="I6" s="12" t="s">
        <v>53</v>
      </c>
      <c r="J6" s="12" t="s">
        <v>54</v>
      </c>
      <c r="K6" s="12" t="s">
        <v>55</v>
      </c>
      <c r="L6" s="12" t="s">
        <v>56</v>
      </c>
      <c r="M6" s="14">
        <v>900000</v>
      </c>
      <c r="O6" s="25"/>
      <c r="P6" s="26"/>
      <c r="Q6" s="26"/>
    </row>
    <row r="7" spans="1:17" ht="48" customHeight="1">
      <c r="A7" s="12" t="s">
        <v>57</v>
      </c>
      <c r="B7" s="13">
        <v>46277</v>
      </c>
      <c r="C7" s="12" t="s">
        <v>58</v>
      </c>
      <c r="D7" s="12" t="s">
        <v>59</v>
      </c>
      <c r="E7" s="12" t="s">
        <v>60</v>
      </c>
      <c r="F7" s="12" t="s">
        <v>61</v>
      </c>
      <c r="G7" s="12" t="s">
        <v>62</v>
      </c>
      <c r="H7" s="12" t="s">
        <v>63</v>
      </c>
      <c r="I7" s="12" t="s">
        <v>64</v>
      </c>
      <c r="J7" s="12" t="s">
        <v>65</v>
      </c>
      <c r="K7" s="12" t="s">
        <v>66</v>
      </c>
      <c r="L7" s="12" t="s">
        <v>67</v>
      </c>
      <c r="M7" s="14">
        <v>1050000</v>
      </c>
      <c r="O7" s="25"/>
      <c r="P7" s="26"/>
      <c r="Q7" s="26"/>
    </row>
    <row r="8" spans="1:17" ht="48" customHeight="1">
      <c r="A8" s="12" t="s">
        <v>68</v>
      </c>
      <c r="B8" s="13">
        <v>46280</v>
      </c>
      <c r="C8" s="12" t="s">
        <v>36</v>
      </c>
      <c r="D8" s="12" t="s">
        <v>37</v>
      </c>
      <c r="E8" s="12" t="s">
        <v>38</v>
      </c>
      <c r="F8" s="12" t="s">
        <v>39</v>
      </c>
      <c r="G8" s="12" t="s">
        <v>69</v>
      </c>
      <c r="H8" s="12" t="s">
        <v>70</v>
      </c>
      <c r="I8" s="12" t="s">
        <v>71</v>
      </c>
      <c r="J8" s="12" t="s">
        <v>72</v>
      </c>
      <c r="K8" s="12" t="s">
        <v>73</v>
      </c>
      <c r="L8" s="12" t="s">
        <v>74</v>
      </c>
      <c r="M8" s="14">
        <v>346000</v>
      </c>
      <c r="O8" s="25"/>
      <c r="P8" s="26"/>
      <c r="Q8" s="26"/>
    </row>
    <row r="9" spans="1:17" ht="48" customHeight="1">
      <c r="A9" s="12" t="s">
        <v>75</v>
      </c>
      <c r="B9" s="13">
        <v>46283</v>
      </c>
      <c r="C9" s="12" t="s">
        <v>47</v>
      </c>
      <c r="D9" s="12" t="s">
        <v>48</v>
      </c>
      <c r="E9" s="12" t="s">
        <v>49</v>
      </c>
      <c r="F9" s="12" t="s">
        <v>50</v>
      </c>
      <c r="G9" s="12" t="s">
        <v>76</v>
      </c>
      <c r="H9" s="12" t="s">
        <v>77</v>
      </c>
      <c r="I9" s="12" t="s">
        <v>78</v>
      </c>
      <c r="J9" s="12" t="s">
        <v>79</v>
      </c>
      <c r="K9" s="12" t="s">
        <v>80</v>
      </c>
      <c r="L9" s="12" t="s">
        <v>81</v>
      </c>
      <c r="M9" s="14">
        <v>548000</v>
      </c>
      <c r="O9" s="25"/>
      <c r="P9" s="26"/>
      <c r="Q9" s="26"/>
    </row>
    <row r="10" spans="1:17" ht="48" customHeight="1">
      <c r="A10" s="12" t="s">
        <v>82</v>
      </c>
      <c r="B10" s="13">
        <v>46285</v>
      </c>
      <c r="C10" s="12" t="s">
        <v>58</v>
      </c>
      <c r="D10" s="12" t="s">
        <v>59</v>
      </c>
      <c r="E10" s="12" t="s">
        <v>60</v>
      </c>
      <c r="F10" s="12" t="s">
        <v>61</v>
      </c>
      <c r="G10" s="12" t="s">
        <v>83</v>
      </c>
      <c r="H10" s="12" t="s">
        <v>84</v>
      </c>
      <c r="I10" s="12" t="s">
        <v>42</v>
      </c>
      <c r="J10" s="12" t="s">
        <v>43</v>
      </c>
      <c r="K10" s="12" t="s">
        <v>85</v>
      </c>
      <c r="L10" s="12" t="s">
        <v>86</v>
      </c>
      <c r="M10" s="14">
        <v>4450000</v>
      </c>
      <c r="O10" s="25"/>
      <c r="P10" s="26"/>
      <c r="Q10" s="26"/>
    </row>
    <row r="12" spans="1:17">
      <c r="A12" s="41" t="s">
        <v>100</v>
      </c>
      <c r="B12" s="41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spans="1:17">
      <c r="A13" s="20"/>
      <c r="B13" s="21" t="s">
        <v>101</v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spans="1:17">
      <c r="A14" s="20"/>
      <c r="B14" s="22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spans="1:17">
      <c r="A15" s="20"/>
      <c r="B15" s="22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</row>
    <row r="16" spans="1:17">
      <c r="A16" s="20"/>
      <c r="B16" s="22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</row>
    <row r="17" spans="1:13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</row>
    <row r="18" spans="1:13">
      <c r="B18" s="21" t="s">
        <v>102</v>
      </c>
    </row>
    <row r="19" spans="1:13">
      <c r="B19" s="22"/>
    </row>
    <row r="20" spans="1:13">
      <c r="B20" s="22"/>
    </row>
    <row r="21" spans="1:13">
      <c r="B21" s="22"/>
    </row>
    <row r="23" spans="1:13">
      <c r="B23" s="21" t="s">
        <v>103</v>
      </c>
    </row>
    <row r="24" spans="1:13">
      <c r="B24" s="22"/>
    </row>
    <row r="25" spans="1:13">
      <c r="B25" s="22"/>
    </row>
    <row r="26" spans="1:13">
      <c r="B26" s="22"/>
    </row>
    <row r="28" spans="1:13">
      <c r="B28" s="21" t="s">
        <v>104</v>
      </c>
    </row>
    <row r="29" spans="1:13">
      <c r="B29" s="22"/>
    </row>
    <row r="30" spans="1:13">
      <c r="B30" s="22"/>
    </row>
    <row r="31" spans="1:13">
      <c r="B31" s="22"/>
    </row>
    <row r="33" spans="2:2">
      <c r="B33" s="21" t="s">
        <v>105</v>
      </c>
    </row>
    <row r="34" spans="2:2">
      <c r="B34" s="22"/>
    </row>
    <row r="35" spans="2:2">
      <c r="B35" s="22"/>
    </row>
    <row r="36" spans="2:2">
      <c r="B36" s="23"/>
    </row>
    <row r="37" spans="2:2">
      <c r="B37" s="23"/>
    </row>
    <row r="38" spans="2:2">
      <c r="B38" s="23"/>
    </row>
    <row r="39" spans="2:2">
      <c r="B39" s="23"/>
    </row>
    <row r="40" spans="2:2">
      <c r="B40" s="23"/>
    </row>
    <row r="41" spans="2:2">
      <c r="B41" s="23"/>
    </row>
    <row r="43" spans="2:2">
      <c r="B43" s="21"/>
    </row>
    <row r="44" spans="2:2">
      <c r="B44" s="22"/>
    </row>
    <row r="45" spans="2:2">
      <c r="B45" s="22"/>
    </row>
    <row r="46" spans="2:2">
      <c r="B46" s="22"/>
    </row>
    <row r="48" spans="2:2">
      <c r="B48" s="21"/>
    </row>
    <row r="49" spans="2:2">
      <c r="B49" s="22"/>
    </row>
    <row r="50" spans="2:2">
      <c r="B50" s="22"/>
    </row>
    <row r="51" spans="2:2">
      <c r="B51" s="24"/>
    </row>
    <row r="52" spans="2:2">
      <c r="B52" s="22"/>
    </row>
    <row r="53" spans="2:2">
      <c r="B53" s="22"/>
    </row>
    <row r="54" spans="2:2">
      <c r="B54" s="22"/>
    </row>
    <row r="56" spans="2:2">
      <c r="B56" s="21"/>
    </row>
    <row r="57" spans="2:2">
      <c r="B57" s="22"/>
    </row>
    <row r="58" spans="2:2">
      <c r="B58" s="22"/>
    </row>
    <row r="60" spans="2:2">
      <c r="B60" s="21"/>
    </row>
    <row r="61" spans="2:2">
      <c r="B61" s="22"/>
    </row>
    <row r="62" spans="2:2">
      <c r="B62" s="22"/>
    </row>
    <row r="64" spans="2:2">
      <c r="B64" s="21"/>
    </row>
    <row r="65" spans="2:2">
      <c r="B65" s="22"/>
    </row>
    <row r="66" spans="2:2">
      <c r="B66" s="22"/>
    </row>
    <row r="67" spans="2:2">
      <c r="B67" s="22"/>
    </row>
  </sheetData>
  <mergeCells count="2">
    <mergeCell ref="A12:B12"/>
    <mergeCell ref="P5:Q5"/>
  </mergeCells>
  <pageMargins left="0.75" right="0.75" top="1" bottom="1" header="0.5" footer="0.5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3"/>
  <sheetViews>
    <sheetView topLeftCell="C7" workbookViewId="0">
      <selection activeCell="L12" sqref="L12:L23"/>
    </sheetView>
  </sheetViews>
  <sheetFormatPr defaultRowHeight="14.4"/>
  <cols>
    <col min="1" max="1" width="35.6640625" customWidth="1"/>
    <col min="2" max="2" width="68.77734375" customWidth="1"/>
    <col min="3" max="3" width="15.109375" customWidth="1"/>
    <col min="4" max="4" width="17.88671875" customWidth="1"/>
    <col min="5" max="5" width="20" customWidth="1"/>
    <col min="6" max="6" width="14.77734375" customWidth="1"/>
    <col min="7" max="7" width="13" customWidth="1"/>
    <col min="8" max="8" width="18.109375" customWidth="1"/>
    <col min="9" max="9" width="14.6640625" customWidth="1"/>
    <col min="10" max="10" width="17.88671875" customWidth="1"/>
    <col min="11" max="11" width="8.88671875" customWidth="1"/>
    <col min="12" max="12" width="14.44140625" style="31" customWidth="1"/>
    <col min="13" max="13" width="16.5546875" customWidth="1"/>
  </cols>
  <sheetData>
    <row r="1" spans="1:13" ht="16.8">
      <c r="A1" s="10" t="s">
        <v>87</v>
      </c>
    </row>
    <row r="2" spans="1:13">
      <c r="A2" s="2" t="s">
        <v>88</v>
      </c>
    </row>
    <row r="3" spans="1:13">
      <c r="A3" s="2" t="s">
        <v>89</v>
      </c>
    </row>
    <row r="5" spans="1:13">
      <c r="A5" s="3" t="s">
        <v>90</v>
      </c>
    </row>
    <row r="6" spans="1:13" ht="36" customHeight="1">
      <c r="A6" s="15" t="s">
        <v>16</v>
      </c>
      <c r="B6" s="16" t="s">
        <v>123</v>
      </c>
      <c r="C6" s="17" t="s">
        <v>91</v>
      </c>
    </row>
    <row r="7" spans="1:13" ht="52.2" customHeight="1">
      <c r="A7" s="15" t="s">
        <v>92</v>
      </c>
      <c r="B7" s="29" t="s">
        <v>124</v>
      </c>
      <c r="C7" s="35" t="s">
        <v>93</v>
      </c>
    </row>
    <row r="8" spans="1:13" ht="60.6" customHeight="1">
      <c r="A8" s="15" t="s">
        <v>94</v>
      </c>
      <c r="B8" s="30" t="s">
        <v>125</v>
      </c>
    </row>
    <row r="10" spans="1:13">
      <c r="A10" s="3" t="s">
        <v>95</v>
      </c>
      <c r="B10" s="21"/>
    </row>
    <row r="11" spans="1:13" ht="27.6">
      <c r="A11" s="28" t="s">
        <v>22</v>
      </c>
      <c r="B11" s="11" t="s">
        <v>23</v>
      </c>
      <c r="C11" s="11" t="s">
        <v>24</v>
      </c>
      <c r="D11" s="11" t="s">
        <v>25</v>
      </c>
      <c r="E11" s="11" t="s">
        <v>26</v>
      </c>
      <c r="F11" s="11" t="s">
        <v>27</v>
      </c>
      <c r="G11" s="28" t="s">
        <v>28</v>
      </c>
      <c r="H11" s="11" t="s">
        <v>29</v>
      </c>
      <c r="I11" s="11" t="s">
        <v>30</v>
      </c>
      <c r="J11" s="11" t="s">
        <v>31</v>
      </c>
      <c r="K11" s="11" t="s">
        <v>32</v>
      </c>
      <c r="L11" s="32" t="s">
        <v>33</v>
      </c>
      <c r="M11" s="11" t="s">
        <v>34</v>
      </c>
    </row>
    <row r="12" spans="1:13">
      <c r="A12" s="12" t="s">
        <v>35</v>
      </c>
      <c r="B12" s="13">
        <v>46266</v>
      </c>
      <c r="C12" t="s">
        <v>36</v>
      </c>
      <c r="D12" s="12" t="s">
        <v>37</v>
      </c>
      <c r="E12" s="12" t="s">
        <v>38</v>
      </c>
      <c r="F12" s="12" t="s">
        <v>39</v>
      </c>
      <c r="G12" t="s">
        <v>108</v>
      </c>
      <c r="H12" t="s">
        <v>109</v>
      </c>
      <c r="I12" t="s">
        <v>64</v>
      </c>
      <c r="J12" t="s">
        <v>65</v>
      </c>
      <c r="K12">
        <v>1</v>
      </c>
      <c r="L12" s="31" t="s">
        <v>110</v>
      </c>
      <c r="M12" s="31" t="s">
        <v>110</v>
      </c>
    </row>
    <row r="13" spans="1:13">
      <c r="A13" s="12" t="s">
        <v>35</v>
      </c>
      <c r="B13" s="13">
        <v>46266</v>
      </c>
      <c r="C13" t="s">
        <v>36</v>
      </c>
      <c r="D13" s="12" t="s">
        <v>37</v>
      </c>
      <c r="E13" s="12" t="s">
        <v>38</v>
      </c>
      <c r="F13" s="12" t="s">
        <v>39</v>
      </c>
      <c r="G13" t="s">
        <v>111</v>
      </c>
      <c r="H13" t="s">
        <v>112</v>
      </c>
      <c r="I13" t="s">
        <v>113</v>
      </c>
      <c r="J13" t="s">
        <v>114</v>
      </c>
      <c r="K13">
        <v>2</v>
      </c>
      <c r="L13" s="33">
        <v>150000</v>
      </c>
      <c r="M13" s="33">
        <f>SUM(L13*K13)</f>
        <v>300000</v>
      </c>
    </row>
    <row r="14" spans="1:13">
      <c r="A14" s="12" t="s">
        <v>46</v>
      </c>
      <c r="B14" s="13">
        <v>46275</v>
      </c>
      <c r="C14" t="s">
        <v>47</v>
      </c>
      <c r="D14" s="12" t="s">
        <v>48</v>
      </c>
      <c r="E14" s="12" t="s">
        <v>49</v>
      </c>
      <c r="F14" s="12" t="s">
        <v>50</v>
      </c>
      <c r="G14" t="s">
        <v>115</v>
      </c>
      <c r="H14" t="s">
        <v>116</v>
      </c>
      <c r="I14" t="s">
        <v>113</v>
      </c>
      <c r="J14" t="s">
        <v>114</v>
      </c>
      <c r="K14">
        <v>1</v>
      </c>
      <c r="L14" s="33">
        <v>750000</v>
      </c>
      <c r="M14" s="33">
        <f t="shared" ref="M14:M23" si="0">SUM(L14*K14)</f>
        <v>750000</v>
      </c>
    </row>
    <row r="15" spans="1:13">
      <c r="A15" s="12" t="s">
        <v>46</v>
      </c>
      <c r="B15" s="13">
        <v>46275</v>
      </c>
      <c r="C15" t="s">
        <v>47</v>
      </c>
      <c r="D15" s="12" t="s">
        <v>48</v>
      </c>
      <c r="E15" s="12" t="s">
        <v>49</v>
      </c>
      <c r="F15" s="12" t="s">
        <v>50</v>
      </c>
      <c r="G15" t="s">
        <v>111</v>
      </c>
      <c r="H15" t="s">
        <v>112</v>
      </c>
      <c r="I15" t="s">
        <v>113</v>
      </c>
      <c r="J15" t="s">
        <v>114</v>
      </c>
      <c r="K15">
        <v>1</v>
      </c>
      <c r="L15" s="33">
        <v>150000</v>
      </c>
      <c r="M15" s="33">
        <f t="shared" si="0"/>
        <v>150000</v>
      </c>
    </row>
    <row r="16" spans="1:13">
      <c r="A16" s="12" t="s">
        <v>57</v>
      </c>
      <c r="B16" s="13">
        <v>46277</v>
      </c>
      <c r="C16" t="s">
        <v>58</v>
      </c>
      <c r="D16" s="12" t="s">
        <v>59</v>
      </c>
      <c r="E16" s="12" t="s">
        <v>60</v>
      </c>
      <c r="F16" s="12" t="s">
        <v>61</v>
      </c>
      <c r="G16" t="s">
        <v>62</v>
      </c>
      <c r="H16" t="s">
        <v>63</v>
      </c>
      <c r="I16" t="s">
        <v>64</v>
      </c>
      <c r="J16" t="s">
        <v>65</v>
      </c>
      <c r="K16">
        <v>3</v>
      </c>
      <c r="L16" s="33">
        <v>350000</v>
      </c>
      <c r="M16" s="33">
        <f t="shared" si="0"/>
        <v>1050000</v>
      </c>
    </row>
    <row r="17" spans="1:13">
      <c r="A17" s="12" t="s">
        <v>68</v>
      </c>
      <c r="B17" s="13">
        <v>46280</v>
      </c>
      <c r="C17" t="s">
        <v>36</v>
      </c>
      <c r="D17" s="12" t="s">
        <v>37</v>
      </c>
      <c r="E17" s="12" t="s">
        <v>38</v>
      </c>
      <c r="F17" s="12" t="s">
        <v>39</v>
      </c>
      <c r="G17" t="s">
        <v>117</v>
      </c>
      <c r="H17" t="s">
        <v>118</v>
      </c>
      <c r="I17" t="s">
        <v>119</v>
      </c>
      <c r="J17" t="s">
        <v>120</v>
      </c>
      <c r="K17">
        <v>10</v>
      </c>
      <c r="L17" s="33">
        <v>25000</v>
      </c>
      <c r="M17" s="33">
        <f t="shared" si="0"/>
        <v>250000</v>
      </c>
    </row>
    <row r="18" spans="1:13">
      <c r="A18" s="12" t="s">
        <v>68</v>
      </c>
      <c r="B18" s="13">
        <v>46280</v>
      </c>
      <c r="C18" t="s">
        <v>36</v>
      </c>
      <c r="D18" s="12" t="s">
        <v>37</v>
      </c>
      <c r="E18" s="12" t="s">
        <v>38</v>
      </c>
      <c r="F18" s="12" t="s">
        <v>39</v>
      </c>
      <c r="G18" t="s">
        <v>121</v>
      </c>
      <c r="H18" t="s">
        <v>122</v>
      </c>
      <c r="I18" t="s">
        <v>119</v>
      </c>
      <c r="J18" t="s">
        <v>120</v>
      </c>
      <c r="K18">
        <v>2</v>
      </c>
      <c r="L18" s="33">
        <v>48000</v>
      </c>
      <c r="M18" s="33">
        <f t="shared" si="0"/>
        <v>96000</v>
      </c>
    </row>
    <row r="19" spans="1:13">
      <c r="A19" s="12" t="s">
        <v>75</v>
      </c>
      <c r="B19" s="13">
        <v>46283</v>
      </c>
      <c r="C19" t="s">
        <v>47</v>
      </c>
      <c r="D19" s="12" t="s">
        <v>48</v>
      </c>
      <c r="E19" s="12" t="s">
        <v>49</v>
      </c>
      <c r="F19" s="12" t="s">
        <v>50</v>
      </c>
      <c r="G19" t="s">
        <v>62</v>
      </c>
      <c r="H19" t="s">
        <v>63</v>
      </c>
      <c r="I19" t="s">
        <v>64</v>
      </c>
      <c r="J19" t="s">
        <v>65</v>
      </c>
      <c r="K19">
        <v>1</v>
      </c>
      <c r="L19" s="33">
        <v>375000</v>
      </c>
      <c r="M19" s="33">
        <f t="shared" si="0"/>
        <v>375000</v>
      </c>
    </row>
    <row r="20" spans="1:13">
      <c r="A20" s="12" t="s">
        <v>75</v>
      </c>
      <c r="B20" s="13">
        <v>46283</v>
      </c>
      <c r="C20" t="s">
        <v>47</v>
      </c>
      <c r="D20" s="12" t="s">
        <v>48</v>
      </c>
      <c r="E20" s="12" t="s">
        <v>49</v>
      </c>
      <c r="F20" s="12" t="s">
        <v>50</v>
      </c>
      <c r="G20" t="s">
        <v>117</v>
      </c>
      <c r="H20" t="s">
        <v>118</v>
      </c>
      <c r="I20" t="s">
        <v>119</v>
      </c>
      <c r="J20" t="s">
        <v>120</v>
      </c>
      <c r="K20">
        <v>5</v>
      </c>
      <c r="L20" s="33">
        <v>25000</v>
      </c>
      <c r="M20" s="33">
        <f t="shared" si="0"/>
        <v>125000</v>
      </c>
    </row>
    <row r="21" spans="1:13">
      <c r="A21" s="12" t="s">
        <v>75</v>
      </c>
      <c r="B21" s="13">
        <v>46283</v>
      </c>
      <c r="C21" t="s">
        <v>47</v>
      </c>
      <c r="D21" s="12" t="s">
        <v>48</v>
      </c>
      <c r="E21" s="12" t="s">
        <v>49</v>
      </c>
      <c r="F21" s="12" t="s">
        <v>50</v>
      </c>
      <c r="G21" t="s">
        <v>121</v>
      </c>
      <c r="H21" t="s">
        <v>122</v>
      </c>
      <c r="I21" t="s">
        <v>119</v>
      </c>
      <c r="J21" t="s">
        <v>120</v>
      </c>
      <c r="K21">
        <v>1</v>
      </c>
      <c r="L21" s="33">
        <v>48000</v>
      </c>
      <c r="M21" s="33">
        <f t="shared" si="0"/>
        <v>48000</v>
      </c>
    </row>
    <row r="22" spans="1:13">
      <c r="A22" s="12" t="s">
        <v>82</v>
      </c>
      <c r="B22" s="13">
        <v>46285</v>
      </c>
      <c r="C22" t="s">
        <v>58</v>
      </c>
      <c r="D22" s="12" t="s">
        <v>59</v>
      </c>
      <c r="E22" s="12" t="s">
        <v>60</v>
      </c>
      <c r="F22" s="12" t="s">
        <v>61</v>
      </c>
      <c r="G22" t="s">
        <v>108</v>
      </c>
      <c r="H22" t="s">
        <v>109</v>
      </c>
      <c r="I22" t="s">
        <v>64</v>
      </c>
      <c r="J22" t="s">
        <v>65</v>
      </c>
      <c r="K22">
        <v>2</v>
      </c>
      <c r="L22" s="33">
        <v>1850000</v>
      </c>
      <c r="M22" s="33">
        <f t="shared" si="0"/>
        <v>3700000</v>
      </c>
    </row>
    <row r="23" spans="1:13">
      <c r="A23" s="12" t="s">
        <v>82</v>
      </c>
      <c r="B23" s="13">
        <v>46285</v>
      </c>
      <c r="C23" t="s">
        <v>58</v>
      </c>
      <c r="D23" s="12" t="s">
        <v>59</v>
      </c>
      <c r="E23" s="12" t="s">
        <v>60</v>
      </c>
      <c r="F23" s="12" t="s">
        <v>61</v>
      </c>
      <c r="G23" t="s">
        <v>115</v>
      </c>
      <c r="H23" t="s">
        <v>116</v>
      </c>
      <c r="I23" t="s">
        <v>113</v>
      </c>
      <c r="J23" t="s">
        <v>114</v>
      </c>
      <c r="K23">
        <v>1</v>
      </c>
      <c r="L23" s="33">
        <v>750000</v>
      </c>
      <c r="M23" s="33">
        <f t="shared" si="0"/>
        <v>750000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2"/>
  <sheetViews>
    <sheetView tabSelected="1" workbookViewId="0">
      <selection activeCell="E15" sqref="E15"/>
    </sheetView>
  </sheetViews>
  <sheetFormatPr defaultRowHeight="14.4"/>
  <cols>
    <col min="1" max="1" width="36.77734375" customWidth="1"/>
    <col min="2" max="2" width="60" customWidth="1"/>
    <col min="3" max="3" width="30" customWidth="1"/>
    <col min="4" max="4" width="21.33203125" customWidth="1"/>
    <col min="5" max="5" width="19.109375" customWidth="1"/>
    <col min="6" max="6" width="12.33203125" customWidth="1"/>
    <col min="7" max="7" width="12.21875" customWidth="1"/>
  </cols>
  <sheetData>
    <row r="1" spans="1:7" ht="16.8">
      <c r="A1" s="10" t="s">
        <v>96</v>
      </c>
    </row>
    <row r="2" spans="1:7">
      <c r="A2" s="2" t="s">
        <v>97</v>
      </c>
    </row>
    <row r="3" spans="1:7">
      <c r="A3" s="2" t="s">
        <v>89</v>
      </c>
    </row>
    <row r="5" spans="1:7">
      <c r="A5" s="3" t="s">
        <v>90</v>
      </c>
    </row>
    <row r="6" spans="1:7" ht="36" customHeight="1">
      <c r="A6" s="15" t="s">
        <v>16</v>
      </c>
      <c r="B6" s="16" t="s">
        <v>131</v>
      </c>
      <c r="C6" s="17" t="s">
        <v>91</v>
      </c>
    </row>
    <row r="7" spans="1:7" ht="51.6" customHeight="1">
      <c r="A7" s="15" t="s">
        <v>92</v>
      </c>
      <c r="B7" s="40" t="s">
        <v>132</v>
      </c>
      <c r="C7" s="17" t="s">
        <v>93</v>
      </c>
    </row>
    <row r="8" spans="1:7" ht="36" customHeight="1">
      <c r="A8" s="15" t="s">
        <v>94</v>
      </c>
      <c r="B8" s="16" t="s">
        <v>133</v>
      </c>
    </row>
    <row r="10" spans="1:7">
      <c r="A10" s="3" t="s">
        <v>95</v>
      </c>
    </row>
    <row r="11" spans="1:7">
      <c r="A11" s="34" t="s">
        <v>126</v>
      </c>
    </row>
    <row r="12" spans="1:7">
      <c r="A12" s="37" t="s">
        <v>128</v>
      </c>
      <c r="B12" s="11" t="s">
        <v>23</v>
      </c>
      <c r="C12" s="11" t="s">
        <v>24</v>
      </c>
      <c r="D12" s="11" t="s">
        <v>25</v>
      </c>
      <c r="E12" s="11" t="s">
        <v>26</v>
      </c>
      <c r="F12" s="11" t="s">
        <v>27</v>
      </c>
      <c r="G12" s="38"/>
    </row>
    <row r="13" spans="1:7">
      <c r="A13" s="12" t="s">
        <v>35</v>
      </c>
      <c r="B13" s="13">
        <v>46266</v>
      </c>
      <c r="C13" s="36" t="s">
        <v>36</v>
      </c>
      <c r="D13" s="36" t="s">
        <v>37</v>
      </c>
      <c r="E13" s="12" t="s">
        <v>38</v>
      </c>
      <c r="F13" s="12" t="s">
        <v>39</v>
      </c>
      <c r="G13" s="14"/>
    </row>
    <row r="14" spans="1:7">
      <c r="A14" s="12" t="s">
        <v>46</v>
      </c>
      <c r="B14" s="13">
        <v>46275</v>
      </c>
      <c r="C14" s="36" t="s">
        <v>47</v>
      </c>
      <c r="D14" s="36" t="s">
        <v>48</v>
      </c>
      <c r="E14" s="12" t="s">
        <v>49</v>
      </c>
      <c r="F14" s="12" t="s">
        <v>50</v>
      </c>
      <c r="G14" s="14"/>
    </row>
    <row r="15" spans="1:7">
      <c r="A15" s="12" t="s">
        <v>57</v>
      </c>
      <c r="B15" s="13">
        <v>46277</v>
      </c>
      <c r="C15" s="36" t="s">
        <v>58</v>
      </c>
      <c r="D15" s="36" t="s">
        <v>59</v>
      </c>
      <c r="E15" s="12" t="s">
        <v>60</v>
      </c>
      <c r="F15" s="12" t="s">
        <v>61</v>
      </c>
      <c r="G15" s="14"/>
    </row>
    <row r="16" spans="1:7">
      <c r="A16" s="12" t="s">
        <v>68</v>
      </c>
      <c r="B16" s="13">
        <v>46280</v>
      </c>
      <c r="C16" s="36" t="s">
        <v>36</v>
      </c>
      <c r="D16" s="36" t="s">
        <v>37</v>
      </c>
      <c r="E16" s="12" t="s">
        <v>38</v>
      </c>
      <c r="F16" s="12" t="s">
        <v>39</v>
      </c>
      <c r="G16" s="14"/>
    </row>
    <row r="17" spans="1:7">
      <c r="A17" s="12" t="s">
        <v>75</v>
      </c>
      <c r="B17" s="13">
        <v>46283</v>
      </c>
      <c r="C17" s="36" t="s">
        <v>47</v>
      </c>
      <c r="D17" s="36" t="s">
        <v>48</v>
      </c>
      <c r="E17" s="12" t="s">
        <v>49</v>
      </c>
      <c r="F17" s="12" t="s">
        <v>50</v>
      </c>
      <c r="G17" s="14"/>
    </row>
    <row r="18" spans="1:7">
      <c r="A18" s="12" t="s">
        <v>82</v>
      </c>
      <c r="B18" s="13">
        <v>46285</v>
      </c>
      <c r="C18" s="36" t="s">
        <v>58</v>
      </c>
      <c r="D18" s="36" t="s">
        <v>59</v>
      </c>
      <c r="E18" s="12" t="s">
        <v>60</v>
      </c>
      <c r="F18" s="12" t="s">
        <v>61</v>
      </c>
      <c r="G18" s="14"/>
    </row>
    <row r="20" spans="1:7">
      <c r="A20" s="34" t="s">
        <v>127</v>
      </c>
    </row>
    <row r="21" spans="1:7">
      <c r="A21" s="37" t="s">
        <v>129</v>
      </c>
      <c r="B21" s="11" t="s">
        <v>29</v>
      </c>
      <c r="C21" s="11" t="s">
        <v>30</v>
      </c>
      <c r="D21" s="11" t="s">
        <v>31</v>
      </c>
    </row>
    <row r="22" spans="1:7">
      <c r="A22" t="s">
        <v>108</v>
      </c>
      <c r="B22" t="s">
        <v>109</v>
      </c>
      <c r="C22" s="19" t="s">
        <v>64</v>
      </c>
      <c r="D22" t="s">
        <v>65</v>
      </c>
    </row>
    <row r="23" spans="1:7">
      <c r="A23" t="s">
        <v>62</v>
      </c>
      <c r="B23" t="s">
        <v>63</v>
      </c>
      <c r="C23" s="19" t="s">
        <v>64</v>
      </c>
      <c r="D23" t="s">
        <v>65</v>
      </c>
    </row>
    <row r="24" spans="1:7">
      <c r="A24" t="s">
        <v>117</v>
      </c>
      <c r="B24" t="s">
        <v>118</v>
      </c>
      <c r="C24" s="19" t="s">
        <v>119</v>
      </c>
      <c r="D24" t="s">
        <v>120</v>
      </c>
    </row>
    <row r="25" spans="1:7">
      <c r="A25" t="s">
        <v>121</v>
      </c>
      <c r="B25" t="s">
        <v>122</v>
      </c>
      <c r="C25" s="19" t="s">
        <v>119</v>
      </c>
      <c r="D25" t="s">
        <v>120</v>
      </c>
    </row>
    <row r="26" spans="1:7">
      <c r="A26" t="s">
        <v>111</v>
      </c>
      <c r="B26" t="s">
        <v>112</v>
      </c>
      <c r="C26" s="19" t="s">
        <v>113</v>
      </c>
      <c r="D26" t="s">
        <v>114</v>
      </c>
    </row>
    <row r="27" spans="1:7">
      <c r="A27" t="s">
        <v>115</v>
      </c>
      <c r="B27" t="s">
        <v>112</v>
      </c>
      <c r="C27" s="19" t="s">
        <v>113</v>
      </c>
      <c r="D27" t="s">
        <v>114</v>
      </c>
    </row>
    <row r="29" spans="1:7">
      <c r="A29" s="34" t="s">
        <v>130</v>
      </c>
    </row>
    <row r="30" spans="1:7">
      <c r="A30" s="37" t="s">
        <v>106</v>
      </c>
      <c r="B30" s="37" t="s">
        <v>107</v>
      </c>
      <c r="C30" s="11" t="s">
        <v>32</v>
      </c>
      <c r="D30" s="11" t="s">
        <v>33</v>
      </c>
    </row>
    <row r="31" spans="1:7">
      <c r="A31" s="12" t="s">
        <v>35</v>
      </c>
      <c r="B31" t="s">
        <v>108</v>
      </c>
      <c r="C31">
        <v>1</v>
      </c>
      <c r="D31" s="39" t="s">
        <v>110</v>
      </c>
    </row>
    <row r="32" spans="1:7">
      <c r="A32" s="12" t="s">
        <v>35</v>
      </c>
      <c r="B32" t="s">
        <v>111</v>
      </c>
      <c r="C32">
        <v>2</v>
      </c>
      <c r="D32" s="33">
        <v>150000</v>
      </c>
    </row>
    <row r="33" spans="1:4">
      <c r="A33" s="12" t="s">
        <v>46</v>
      </c>
      <c r="B33" t="s">
        <v>115</v>
      </c>
      <c r="C33">
        <v>1</v>
      </c>
      <c r="D33" s="33">
        <v>750000</v>
      </c>
    </row>
    <row r="34" spans="1:4">
      <c r="A34" s="12" t="s">
        <v>46</v>
      </c>
      <c r="B34" t="s">
        <v>111</v>
      </c>
      <c r="C34">
        <v>1</v>
      </c>
      <c r="D34" s="33">
        <v>150000</v>
      </c>
    </row>
    <row r="35" spans="1:4">
      <c r="A35" s="12" t="s">
        <v>57</v>
      </c>
      <c r="B35" t="s">
        <v>62</v>
      </c>
      <c r="C35">
        <v>3</v>
      </c>
      <c r="D35" s="33">
        <v>350000</v>
      </c>
    </row>
    <row r="36" spans="1:4">
      <c r="A36" s="12" t="s">
        <v>68</v>
      </c>
      <c r="B36" t="s">
        <v>117</v>
      </c>
      <c r="C36">
        <v>10</v>
      </c>
      <c r="D36" s="33">
        <v>25000</v>
      </c>
    </row>
    <row r="37" spans="1:4">
      <c r="A37" s="12" t="s">
        <v>68</v>
      </c>
      <c r="B37" t="s">
        <v>121</v>
      </c>
      <c r="C37">
        <v>2</v>
      </c>
      <c r="D37" s="33">
        <v>48000</v>
      </c>
    </row>
    <row r="38" spans="1:4">
      <c r="A38" s="12" t="s">
        <v>75</v>
      </c>
      <c r="B38" t="s">
        <v>62</v>
      </c>
      <c r="C38">
        <v>1</v>
      </c>
      <c r="D38" s="33">
        <v>375000</v>
      </c>
    </row>
    <row r="39" spans="1:4">
      <c r="A39" s="12" t="s">
        <v>75</v>
      </c>
      <c r="B39" t="s">
        <v>117</v>
      </c>
      <c r="C39">
        <v>5</v>
      </c>
      <c r="D39" s="33">
        <v>25000</v>
      </c>
    </row>
    <row r="40" spans="1:4">
      <c r="A40" s="12" t="s">
        <v>75</v>
      </c>
      <c r="B40" t="s">
        <v>121</v>
      </c>
      <c r="C40">
        <v>1</v>
      </c>
      <c r="D40" s="33">
        <v>48000</v>
      </c>
    </row>
    <row r="41" spans="1:4">
      <c r="A41" s="12" t="s">
        <v>82</v>
      </c>
      <c r="B41" t="s">
        <v>108</v>
      </c>
      <c r="C41">
        <v>2</v>
      </c>
      <c r="D41" s="33">
        <v>1850000</v>
      </c>
    </row>
    <row r="42" spans="1:4">
      <c r="A42" s="12" t="s">
        <v>82</v>
      </c>
      <c r="B42" t="s">
        <v>115</v>
      </c>
      <c r="C42">
        <v>1</v>
      </c>
      <c r="D42" s="33">
        <v>750000</v>
      </c>
    </row>
  </sheetData>
  <phoneticPr fontId="15" type="noConversion"/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5"/>
  <sheetViews>
    <sheetView workbookViewId="0">
      <selection activeCell="D14" sqref="D14"/>
    </sheetView>
  </sheetViews>
  <sheetFormatPr defaultRowHeight="14.4"/>
  <cols>
    <col min="1" max="1" width="30" customWidth="1"/>
    <col min="2" max="2" width="60" customWidth="1"/>
    <col min="3" max="3" width="30" customWidth="1"/>
    <col min="4" max="4" width="19" customWidth="1"/>
  </cols>
  <sheetData>
    <row r="1" spans="1:4" ht="16.8">
      <c r="A1" s="10" t="s">
        <v>98</v>
      </c>
    </row>
    <row r="2" spans="1:4">
      <c r="A2" s="2" t="s">
        <v>99</v>
      </c>
    </row>
    <row r="3" spans="1:4">
      <c r="A3" s="2" t="s">
        <v>89</v>
      </c>
    </row>
    <row r="5" spans="1:4">
      <c r="A5" s="3" t="s">
        <v>90</v>
      </c>
    </row>
    <row r="6" spans="1:4" ht="36" customHeight="1">
      <c r="A6" s="15" t="s">
        <v>16</v>
      </c>
      <c r="B6" s="16"/>
      <c r="C6" s="17" t="s">
        <v>91</v>
      </c>
    </row>
    <row r="7" spans="1:4" ht="36" customHeight="1">
      <c r="A7" s="15" t="s">
        <v>92</v>
      </c>
      <c r="B7" s="16"/>
      <c r="C7" s="17" t="s">
        <v>93</v>
      </c>
    </row>
    <row r="8" spans="1:4" ht="36" customHeight="1">
      <c r="A8" s="15" t="s">
        <v>94</v>
      </c>
      <c r="B8" s="16"/>
    </row>
    <row r="10" spans="1:4">
      <c r="A10" s="3" t="s">
        <v>95</v>
      </c>
    </row>
    <row r="11" spans="1:4">
      <c r="A11" s="18" t="s">
        <v>134</v>
      </c>
    </row>
    <row r="12" spans="1:4">
      <c r="A12" s="38"/>
      <c r="B12" s="38"/>
      <c r="C12" s="38"/>
      <c r="D12" s="38"/>
    </row>
    <row r="13" spans="1:4">
      <c r="C13" s="12"/>
    </row>
    <row r="14" spans="1:4">
      <c r="C14" s="12"/>
    </row>
    <row r="15" spans="1:4">
      <c r="C15" s="1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Petunjuk</vt:lpstr>
      <vt:lpstr>1_UNF</vt:lpstr>
      <vt:lpstr>2_1NF</vt:lpstr>
      <vt:lpstr>3_2NF</vt:lpstr>
      <vt:lpstr>4_3NF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Bagas Ruliansyah</cp:lastModifiedBy>
  <dcterms:created xsi:type="dcterms:W3CDTF">2026-09-22T00:06:03Z</dcterms:created>
  <dcterms:modified xsi:type="dcterms:W3CDTF">2026-09-22T08:44:44Z</dcterms:modified>
</cp:coreProperties>
</file>