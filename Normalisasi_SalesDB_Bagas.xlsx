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gas\OneDrive\Desktop\Maganghub X MII\"/>
    </mc:Choice>
  </mc:AlternateContent>
  <xr:revisionPtr revIDLastSave="0" documentId="13_ncr:1_{724787EE-1A1E-48D8-BD70-D3525FB1AE0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4_3NF" sheetId="5" r:id="rId5"/>
    <sheet name="ERD" sheetId="8" r:id="rId6"/>
    <sheet name="DDL DATABASE" sheetId="6" r:id="rId7"/>
    <sheet name="SOAL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7" l="1"/>
  <c r="A23" i="7"/>
  <c r="A28" i="7"/>
  <c r="A53" i="7"/>
  <c r="A57" i="7"/>
  <c r="A61" i="7"/>
  <c r="A65" i="7"/>
  <c r="A72" i="7"/>
  <c r="E54" i="5"/>
  <c r="E53" i="5"/>
  <c r="E52" i="5"/>
  <c r="E51" i="5"/>
  <c r="E50" i="5"/>
  <c r="E49" i="5"/>
  <c r="E48" i="5"/>
  <c r="E47" i="5"/>
  <c r="E46" i="5"/>
  <c r="E45" i="5"/>
  <c r="E44" i="5"/>
  <c r="M14" i="3"/>
  <c r="M15" i="3"/>
  <c r="M16" i="3"/>
  <c r="M17" i="3"/>
  <c r="M18" i="3"/>
  <c r="M19" i="3"/>
  <c r="M20" i="3"/>
  <c r="M21" i="3"/>
  <c r="M22" i="3"/>
  <c r="M23" i="3"/>
  <c r="M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G13" authorId="0" shapeId="0" xr:uid="{5BC63969-EDE8-433A-8A02-753ABC4FC765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<sst xmlns="http://schemas.openxmlformats.org/spreadsheetml/2006/main" count="629" uniqueCount="275">
  <si>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</si>
  <si>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</si>
  <si>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</si>
  <si>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</si>
  <si>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</si>
  <si>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</si>
  <si>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</si>
  <si>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</si>
  <si>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</si>
  <si>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</si>
  <si>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</si>
  <si>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</si>
  <si>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</si>
  <si>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</si>
  <si>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</si>
  <si>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</si>
  <si>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</si>
  <si>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</si>
  <si>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</si>
  <si>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</si>
  <si>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</si>
  <si>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</si>
  <si>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</si>
  <si>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</si>
  <si>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</si>
  <si>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</si>
  <si>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</si>
  <si>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</si>
  <si>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</si>
  <si>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</si>
  <si>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</si>
  <si>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</si>
  <si>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</si>
  <si>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</si>
  <si>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</si>
  <si>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</si>
  <si>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</si>
  <si>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</si>
  <si>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</si>
  <si>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</si>
  <si>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</si>
  <si>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</si>
  <si>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</si>
  <si>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</si>
  <si>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</si>
  <si>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</si>
  <si>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</si>
  <si>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</si>
  <si>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</si>
  <si>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</si>
  <si>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</si>
  <si>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</si>
  <si>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</si>
  <si>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</si>
  <si>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</si>
  <si>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</si>
  <si>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</si>
  <si>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</si>
  <si>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</si>
  <si>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</si>
  <si>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</si>
  <si>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</si>
  <si>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</si>
  <si>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</si>
  <si>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</si>
  <si>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</si>
  <si>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</si>
  <si>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</si>
  <si>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</si>
  <si>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</si>
  <si>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</si>
  <si>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</si>
  <si>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</si>
  <si>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</si>
  <si>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</si>
  <si>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</si>
  <si>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</si>
  <si>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</si>
  <si>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</si>
  <si>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</si>
  <si>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</si>
  <si>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</si>
  <si>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</si>
  <si>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</si>
  <si>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</si>
  <si>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</si>
  <si>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</si>
  <si>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</si>
  <si>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</si>
  <si>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</si>
  <si>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</si>
  <si>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</si>
  <si>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</si>
  <si>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</si>
  <si>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</si>
  <si>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</si>
  <si>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</si>
  <si>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</si>
  <si>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</si>
  <si>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</si>
  <si>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 xml:space="preserve">Catatan: </t>
  </si>
  <si>
    <t>Data pelanggan berulang</t>
  </si>
  <si>
    <t>Data produk berulang</t>
  </si>
  <si>
    <t>Perhitungan total rawan kesalahan</t>
  </si>
  <si>
    <t>Sulit melakukan pencarian data</t>
  </si>
  <si>
    <t>Sulit membuat laporan</t>
  </si>
  <si>
    <t>No Faktur (PK/FK)</t>
  </si>
  <si>
    <t>Kode Produk (PK/FK)</t>
  </si>
  <si>
    <t>P001</t>
  </si>
  <si>
    <t>Monitor 24 inci</t>
  </si>
  <si>
    <t>1.850.000</t>
  </si>
  <si>
    <t>P005</t>
  </si>
  <si>
    <t>Mouse Wireless</t>
  </si>
  <si>
    <t>K03</t>
  </si>
  <si>
    <t>Aksesoris Komputer</t>
  </si>
  <si>
    <t>P006</t>
  </si>
  <si>
    <t>Keyboard Mekanik</t>
  </si>
  <si>
    <t>P003</t>
  </si>
  <si>
    <t>Buku Catatan A5</t>
  </si>
  <si>
    <t>K02</t>
  </si>
  <si>
    <t>Alat Tulis</t>
  </si>
  <si>
    <t>P004</t>
  </si>
  <si>
    <t>Pulpen Gel (isi 12)</t>
  </si>
  <si>
    <t>No Faktur, Kode Produk</t>
  </si>
  <si>
    <t>(No Faktur, Kode Produk) → Tanggal, Kode Pelanggan, Nama Pelanggan, Email, Kota, Nama Produk, Kode Kategori, Nama Kategori, Qty, Harga Satuan</t>
  </si>
  <si>
    <t>Memecah sel yang memiliki nilai jamak alasannya Memenuhi syarat 1NF, yaitu memastikan setiap sel berisi nilai atomik</t>
  </si>
  <si>
    <t>Tabel Faktur</t>
  </si>
  <si>
    <t>Tabel Produk</t>
  </si>
  <si>
    <t>No Faktur (PK)</t>
  </si>
  <si>
    <t>Kode Produk (PK)</t>
  </si>
  <si>
    <t>Tabel Detail Faktur</t>
  </si>
  <si>
    <t>No Faktur, Kode Produk, (No faktur, kode produk)</t>
  </si>
  <si>
    <t>No faktur : tanggal, kode pelanggan, nama pelanggan, email, kota. Kode Produk : Nama Produk, Kode Kategori, Nama Kategori. (No faktur, kode produk): Qty, Harga Satuan.</t>
  </si>
  <si>
    <t>Memecah 1NF menjadi 3 tabel dengan menghilangkan partial depedency</t>
  </si>
  <si>
    <t xml:space="preserve">Tabel Pelanggan </t>
  </si>
  <si>
    <t xml:space="preserve">Jakarta </t>
  </si>
  <si>
    <t>Tabel Kategori</t>
  </si>
  <si>
    <t>Kode Pelanggan (PK)</t>
  </si>
  <si>
    <t>Kode Kategori (PK)</t>
  </si>
  <si>
    <t>Kode Kategori (FK)</t>
  </si>
  <si>
    <t>Tabel Penjualan</t>
  </si>
  <si>
    <t>Subtotal (Rp)</t>
  </si>
  <si>
    <t>Kode Pelanggan, Kode Kategori, Kode Produk , No Faktur, (No Faktur, Kode Produk)</t>
  </si>
  <si>
    <t>Memisahkan Atribut Nama pelanggan, Memisahkan Atribut Kategori</t>
  </si>
  <si>
    <t>Kode Pelanggan : Nama pelanggan, Email, Kota. Kode Kategori : Nama Kategori. Kode Produk : Nama Produk, Kode Kategori. No Faktur : Tangga, Kode Pelanggan. (No Faktur, Kode Produk) : Qty, Harga Satuan, Total Faktur.</t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</si>
  <si>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Category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FF"/>
        <rFont val="Cascadia Mono"/>
        <family val="3"/>
      </rPr>
      <t>Name</t>
    </r>
    <r>
      <rPr>
        <sz val="9"/>
        <color rgb="FF808080"/>
        <rFont val="Cascadia Mono"/>
        <family val="3"/>
      </rPr>
      <t>)</t>
    </r>
  </si>
  <si>
    <r>
      <t>Output</t>
    </r>
    <r>
      <rPr>
        <sz val="9"/>
        <color rgb="FF000000"/>
        <rFont val="Cascadia Mono"/>
        <family val="3"/>
      </rPr>
      <t xml:space="preserve"> inserted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CategoryID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inserted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</si>
  <si>
    <r>
      <t xml:space="preserve">Values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N'Apa'</t>
    </r>
    <r>
      <rPr>
        <sz val="9"/>
        <color rgb="FF808080"/>
        <rFont val="Cascadia Mono"/>
        <family val="3"/>
      </rPr>
      <t>);</t>
    </r>
  </si>
  <si>
    <r>
      <t>UPDATE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Product</t>
    </r>
  </si>
  <si>
    <r>
      <t>SET</t>
    </r>
    <r>
      <rPr>
        <sz val="9"/>
        <color rgb="FF000000"/>
        <rFont val="Cascadia Mono"/>
        <family val="3"/>
      </rPr>
      <t xml:space="preserve"> UnitPrice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UnitPrice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1.10</t>
    </r>
  </si>
  <si>
    <r>
      <t>OUTPUT</t>
    </r>
    <r>
      <rPr>
        <sz val="9"/>
        <color rgb="FF000000"/>
        <rFont val="Cascadia Mono"/>
        <family val="3"/>
      </rPr>
      <t xml:space="preserve"> </t>
    </r>
  </si>
  <si>
    <r>
      <t xml:space="preserve">    deleted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UnitPrice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OldPrice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008000"/>
        <rFont val="Cascadia Mono"/>
        <family val="3"/>
      </rPr>
      <t>--1850000.00</t>
    </r>
  </si>
  <si>
    <r>
      <t xml:space="preserve">    inserted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UnitPrice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NewPrice </t>
    </r>
    <r>
      <rPr>
        <sz val="9"/>
        <color rgb="FF008000"/>
        <rFont val="Cascadia Mono"/>
        <family val="3"/>
      </rPr>
      <t>--2035000.00</t>
    </r>
  </si>
  <si>
    <r>
      <t>Where</t>
    </r>
    <r>
      <rPr>
        <sz val="9"/>
        <color rgb="FF000000"/>
        <rFont val="Cascadia Mono"/>
        <family val="3"/>
      </rPr>
      <t xml:space="preserve"> ProductID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;</t>
    </r>
    <r>
      <rPr>
        <sz val="9"/>
        <color rgb="FF000000"/>
        <rFont val="Cascadia Mono"/>
        <family val="3"/>
      </rPr>
      <t xml:space="preserve"> </t>
    </r>
  </si>
  <si>
    <r>
      <t>DELETE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Category </t>
    </r>
    <r>
      <rPr>
        <sz val="9"/>
        <color rgb="FF0000FF"/>
        <rFont val="Cascadia Mono"/>
        <family val="3"/>
      </rPr>
      <t>where</t>
    </r>
    <r>
      <rPr>
        <sz val="9"/>
        <color rgb="FF000000"/>
        <rFont val="Cascadia Mono"/>
        <family val="3"/>
      </rPr>
      <t xml:space="preserve"> CategoryID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4</t>
    </r>
    <r>
      <rPr>
        <sz val="9"/>
        <color rgb="FF808080"/>
        <rFont val="Cascadia Mono"/>
        <family val="3"/>
      </rPr>
      <t>;</t>
    </r>
  </si>
  <si>
    <r>
      <t>SET</t>
    </r>
    <r>
      <rPr>
        <sz val="9"/>
        <color rgb="FF000000"/>
        <rFont val="Cascadia Mono"/>
        <family val="3"/>
      </rPr>
      <t xml:space="preserve"> UnitPrice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1850000.00</t>
    </r>
  </si>
  <si>
    <r>
      <t>where</t>
    </r>
    <r>
      <rPr>
        <sz val="9"/>
        <color rgb="FF000000"/>
        <rFont val="Cascadia Mono"/>
        <family val="3"/>
      </rPr>
      <t xml:space="preserve"> ProductID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;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</si>
  <si>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Customer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FF"/>
        <rFont val="Cascadia Mono"/>
        <family val="3"/>
      </rPr>
      <t>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City</t>
    </r>
    <r>
      <rPr>
        <sz val="9"/>
        <color rgb="FF808080"/>
        <rFont val="Cascadia Mono"/>
        <family val="3"/>
      </rPr>
      <t>)</t>
    </r>
  </si>
  <si>
    <r>
      <t>VALUES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</si>
  <si>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N'Dewi Lestari'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N'Jakarta'</t>
    </r>
    <r>
      <rPr>
        <sz val="9"/>
        <color rgb="FF808080"/>
        <rFont val="Cascadia Mono"/>
        <family val="3"/>
      </rPr>
      <t>);</t>
    </r>
  </si>
  <si>
    <r>
      <t>Update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Product</t>
    </r>
    <r>
      <rPr>
        <sz val="9"/>
        <color rgb="FF000000"/>
        <rFont val="Cascadia Mono"/>
        <family val="3"/>
      </rPr>
      <t xml:space="preserve"> </t>
    </r>
  </si>
  <si>
    <r>
      <t>Set</t>
    </r>
    <r>
      <rPr>
        <sz val="9"/>
        <color rgb="FF000000"/>
        <rFont val="Cascadia Mono"/>
        <family val="3"/>
      </rPr>
      <t xml:space="preserve"> UnitPrice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375000.00</t>
    </r>
  </si>
  <si>
    <r>
      <t>where</t>
    </r>
    <r>
      <rPr>
        <sz val="9"/>
        <color rgb="FF000000"/>
        <rFont val="Cascadia Mono"/>
        <family val="3"/>
      </rPr>
      <t xml:space="preserve"> ProductID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2</t>
    </r>
  </si>
  <si>
    <r>
      <t>Set</t>
    </r>
    <r>
      <rPr>
        <sz val="9"/>
        <color rgb="FF000000"/>
        <rFont val="Cascadia Mono"/>
        <family val="3"/>
      </rPr>
      <t xml:space="preserve"> Stock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15</t>
    </r>
  </si>
  <si>
    <r>
      <t>where</t>
    </r>
    <r>
      <rPr>
        <sz val="9"/>
        <color rgb="FF000000"/>
        <rFont val="Cascadia Mono"/>
        <family val="3"/>
      </rPr>
      <t xml:space="preserve"> ProductID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1</t>
    </r>
  </si>
  <si>
    <r>
      <t>Set</t>
    </r>
    <r>
      <rPr>
        <sz val="9"/>
        <color rgb="FF000000"/>
        <rFont val="Cascadia Mono"/>
        <family val="3"/>
      </rPr>
      <t xml:space="preserve"> Stock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40</t>
    </r>
  </si>
  <si>
    <r>
      <t>Set</t>
    </r>
    <r>
      <rPr>
        <sz val="9"/>
        <color rgb="FF000000"/>
        <rFont val="Cascadia Mono"/>
        <family val="3"/>
      </rPr>
      <t xml:space="preserve"> Stock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200</t>
    </r>
  </si>
  <si>
    <r>
      <t>where</t>
    </r>
    <r>
      <rPr>
        <sz val="9"/>
        <color rgb="FF000000"/>
        <rFont val="Cascadia Mono"/>
        <family val="3"/>
      </rPr>
      <t xml:space="preserve"> ProductID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3</t>
    </r>
  </si>
  <si>
    <r>
      <t>Set</t>
    </r>
    <r>
      <rPr>
        <sz val="9"/>
        <color rgb="FF000000"/>
        <rFont val="Cascadia Mono"/>
        <family val="3"/>
      </rPr>
      <t xml:space="preserve"> Stock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150</t>
    </r>
  </si>
  <si>
    <r>
      <t>where</t>
    </r>
    <r>
      <rPr>
        <sz val="9"/>
        <color rgb="FF000000"/>
        <rFont val="Cascadia Mono"/>
        <family val="3"/>
      </rPr>
      <t xml:space="preserve"> ProductID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4</t>
    </r>
  </si>
  <si>
    <r>
      <t>Set</t>
    </r>
    <r>
      <rPr>
        <sz val="9"/>
        <color rgb="FF000000"/>
        <rFont val="Cascadia Mono"/>
        <family val="3"/>
      </rPr>
      <t xml:space="preserve"> Stock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60</t>
    </r>
  </si>
  <si>
    <r>
      <t>where</t>
    </r>
    <r>
      <rPr>
        <sz val="9"/>
        <color rgb="FF000000"/>
        <rFont val="Cascadia Mono"/>
        <family val="3"/>
      </rPr>
      <t xml:space="preserve"> ProductID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5</t>
    </r>
  </si>
  <si>
    <r>
      <t>Set</t>
    </r>
    <r>
      <rPr>
        <sz val="9"/>
        <color rgb="FF000000"/>
        <rFont val="Cascadia Mono"/>
        <family val="3"/>
      </rPr>
      <t xml:space="preserve"> Stock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25</t>
    </r>
  </si>
  <si>
    <r>
      <t>where</t>
    </r>
    <r>
      <rPr>
        <sz val="9"/>
        <color rgb="FF000000"/>
        <rFont val="Cascadia Mono"/>
        <family val="3"/>
      </rPr>
      <t xml:space="preserve"> ProductID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6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</si>
  <si>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Invoice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OrderID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ProductID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Qty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UnitPrice</t>
    </r>
    <r>
      <rPr>
        <sz val="9"/>
        <color rgb="FF808080"/>
        <rFont val="Cascadia Mono"/>
        <family val="3"/>
      </rPr>
      <t>)</t>
    </r>
  </si>
  <si>
    <r>
      <t xml:space="preserve">VALUES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'78F5268A-F5B7-F111-AFD6-EA2DDFA59A0D'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25000.00</t>
    </r>
    <r>
      <rPr>
        <sz val="9"/>
        <color rgb="FF808080"/>
        <rFont val="Cascadia Mono"/>
        <family val="3"/>
      </rPr>
      <t>);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</si>
  <si>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Sale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CustomerID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Date</t>
    </r>
    <r>
      <rPr>
        <sz val="9"/>
        <color rgb="FF808080"/>
        <rFont val="Cascadia Mono"/>
        <family val="3"/>
      </rPr>
      <t>)</t>
    </r>
  </si>
  <si>
    <r>
      <t xml:space="preserve">Values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99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());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</si>
  <si>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product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FF"/>
        <rFont val="Cascadia Mono"/>
        <family val="3"/>
      </rPr>
      <t>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UnitPrice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Stock</t>
    </r>
    <r>
      <rPr>
        <sz val="9"/>
        <color rgb="FF808080"/>
        <rFont val="Cascadia Mono"/>
        <family val="3"/>
      </rPr>
      <t>)</t>
    </r>
  </si>
  <si>
    <r>
      <t xml:space="preserve">Values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'Kursi Gaming'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15000000.00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-</t>
    </r>
    <r>
      <rPr>
        <sz val="9"/>
        <color rgb="FF000000"/>
        <rFont val="Cascadia Mono"/>
        <family val="3"/>
      </rPr>
      <t>5</t>
    </r>
    <r>
      <rPr>
        <sz val="9"/>
        <color rgb="FF808080"/>
        <rFont val="Cascadia Mono"/>
        <family val="3"/>
      </rPr>
      <t>);</t>
    </r>
  </si>
  <si>
    <r>
      <t>BEGIN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TRAN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</si>
  <si>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N'Muhammad Bagas Ruliansyah'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N'Jakarta'</t>
    </r>
    <r>
      <rPr>
        <sz val="9"/>
        <color rgb="FF808080"/>
        <rFont val="Cascadia Mono"/>
        <family val="3"/>
      </rPr>
      <t>);</t>
    </r>
  </si>
  <si>
    <r>
      <t>ROLLBACK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TRAN</t>
    </r>
    <r>
      <rPr>
        <sz val="9"/>
        <color rgb="FF808080"/>
        <rFont val="Cascadia Mono"/>
        <family val="3"/>
      </rPr>
      <t>;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</si>
  <si>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Customer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FF"/>
        <rFont val="Cascadia Mono"/>
        <family val="3"/>
      </rPr>
      <t>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Email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City</t>
    </r>
    <r>
      <rPr>
        <sz val="9"/>
        <color rgb="FF808080"/>
        <rFont val="Cascadia Mono"/>
        <family val="3"/>
      </rPr>
      <t>)</t>
    </r>
  </si>
  <si>
    <r>
      <t xml:space="preserve">Values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'Doni Salmanan'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'budi@gmail.com'</t>
    </r>
    <r>
      <rPr>
        <sz val="9"/>
        <color rgb="FF808080"/>
        <rFont val="Cascadia Mono"/>
        <family val="3"/>
      </rPr>
      <t>);</t>
    </r>
  </si>
  <si>
    <t>Tipe Soal 2</t>
  </si>
  <si>
    <t>Tipe Soal 1</t>
  </si>
  <si>
    <r>
      <t>IF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EXISTS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FF"/>
        <rFont val="Cascadia Mono"/>
        <family val="3"/>
      </rP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databases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WHERE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N'SalesDb'</t>
    </r>
    <r>
      <rPr>
        <sz val="9"/>
        <color rgb="FF808080"/>
        <rFont val="Cascadia Mono"/>
        <family val="3"/>
      </rPr>
      <t>)</t>
    </r>
  </si>
  <si>
    <t>BEGIN</t>
  </si>
  <si>
    <r>
      <t xml:space="preserve">    </t>
    </r>
    <r>
      <rPr>
        <sz val="9"/>
        <color rgb="FF0000FF"/>
        <rFont val="Cascadia Mono"/>
        <family val="3"/>
      </rP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DATABASE</t>
    </r>
    <r>
      <rPr>
        <sz val="9"/>
        <color rgb="FF000000"/>
        <rFont val="Cascadia Mono"/>
        <family val="3"/>
      </rPr>
      <t xml:space="preserve"> SalesDb</t>
    </r>
    <r>
      <rPr>
        <sz val="9"/>
        <color rgb="FF808080"/>
        <rFont val="Cascadia Mono"/>
        <family val="3"/>
      </rPr>
      <t>;</t>
    </r>
  </si>
  <si>
    <t>END</t>
  </si>
  <si>
    <t>GO</t>
  </si>
  <si>
    <r>
      <t>USE</t>
    </r>
    <r>
      <rPr>
        <sz val="9"/>
        <color rgb="FF000000"/>
        <rFont val="Cascadia Mono"/>
        <family val="3"/>
      </rPr>
      <t xml:space="preserve"> SalesDb</t>
    </r>
    <r>
      <rPr>
        <sz val="9"/>
        <color rgb="FF808080"/>
        <rFont val="Cascadia Mono"/>
        <family val="3"/>
      </rPr>
      <t>;</t>
    </r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</si>
  <si>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Customer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</si>
  <si>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CustomerID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DEFAULT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(),</t>
    </r>
  </si>
  <si>
    <r>
      <t xml:space="preserve">    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100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</si>
  <si>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Email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100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</si>
  <si>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City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50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</si>
  <si>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PK_Customer_CustomerID </t>
    </r>
    <r>
      <rPr>
        <sz val="9"/>
        <color rgb="FF0000FF"/>
        <rFont val="Cascadia Mono"/>
        <family val="3"/>
      </rPr>
      <t>PRIMARY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KEY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CLUSTERED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CustomerID</t>
    </r>
    <r>
      <rPr>
        <sz val="9"/>
        <color rgb="FF808080"/>
        <rFont val="Cascadia Mono"/>
        <family val="3"/>
      </rPr>
      <t>)</t>
    </r>
  </si>
  <si>
    <t>);</t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</si>
  <si>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UNIQUE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NONCLUSTERED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INDEX</t>
    </r>
    <r>
      <rPr>
        <sz val="9"/>
        <color rgb="FF000000"/>
        <rFont val="Cascadia Mono"/>
        <family val="3"/>
      </rPr>
      <t xml:space="preserve"> UX_Customer_Email</t>
    </r>
  </si>
  <si>
    <r>
      <t>ON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Customer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Email</t>
    </r>
    <r>
      <rPr>
        <sz val="9"/>
        <color rgb="FF808080"/>
        <rFont val="Cascadia Mono"/>
        <family val="3"/>
      </rPr>
      <t>)</t>
    </r>
  </si>
  <si>
    <r>
      <t>WHERE</t>
    </r>
    <r>
      <rPr>
        <sz val="9"/>
        <color rgb="FF000000"/>
        <rFont val="Cascadia Mono"/>
        <family val="3"/>
      </rPr>
      <t xml:space="preserve"> Email </t>
    </r>
    <r>
      <rPr>
        <sz val="9"/>
        <color rgb="FF808080"/>
        <rFont val="Cascadia Mono"/>
        <family val="3"/>
      </rPr>
      <t>IS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NULL;</t>
    </r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</si>
  <si>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Category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</si>
  <si>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CategoryID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IDENTITY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1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</si>
  <si>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50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</si>
  <si>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SubCategoryID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</si>
  <si>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PK_Category_CategoryID </t>
    </r>
    <r>
      <rPr>
        <sz val="9"/>
        <color rgb="FF0000FF"/>
        <rFont val="Cascadia Mono"/>
        <family val="3"/>
      </rPr>
      <t>PRIMARY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KEY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CLUSTERED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CategoryID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</si>
  <si>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FK_Category_Category_SubCategoryID </t>
    </r>
    <r>
      <rPr>
        <sz val="9"/>
        <color rgb="FF0000FF"/>
        <rFont val="Cascadia Mono"/>
        <family val="3"/>
      </rPr>
      <t>FOREIGN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KEY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SubCategoryID</t>
    </r>
    <r>
      <rPr>
        <sz val="9"/>
        <color rgb="FF808080"/>
        <rFont val="Cascadia Mono"/>
        <family val="3"/>
      </rPr>
      <t>)</t>
    </r>
  </si>
  <si>
    <r>
      <t xml:space="preserve">        </t>
    </r>
    <r>
      <rPr>
        <sz val="9"/>
        <color rgb="FF0000FF"/>
        <rFont val="Cascadia Mono"/>
        <family val="3"/>
      </rPr>
      <t>REFERENCES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Category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CategoryID</t>
    </r>
    <r>
      <rPr>
        <sz val="9"/>
        <color rgb="FF808080"/>
        <rFont val="Cascadia Mono"/>
        <family val="3"/>
      </rPr>
      <t>)</t>
    </r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</si>
  <si>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Product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</si>
  <si>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ProductID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IDENTITY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1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</si>
  <si>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CategoryID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</si>
  <si>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UnitPrice </t>
    </r>
    <r>
      <rPr>
        <sz val="9"/>
        <color rgb="FF0000FF"/>
        <rFont val="Cascadia Mono"/>
        <family val="3"/>
      </rPr>
      <t>DECIMAL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12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2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</si>
  <si>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Stock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DF_Product_Stock </t>
    </r>
    <r>
      <rPr>
        <sz val="9"/>
        <color rgb="FF0000FF"/>
        <rFont val="Cascadia Mono"/>
        <family val="3"/>
      </rPr>
      <t>DEFAULT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</si>
  <si>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PK_Product_ProductID </t>
    </r>
    <r>
      <rPr>
        <sz val="9"/>
        <color rgb="FF0000FF"/>
        <rFont val="Cascadia Mono"/>
        <family val="3"/>
      </rPr>
      <t>PRIMARY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KEY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CLUSTERED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ProductID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</si>
  <si>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FK_Product_Category_CategoryID </t>
    </r>
    <r>
      <rPr>
        <sz val="9"/>
        <color rgb="FF0000FF"/>
        <rFont val="Cascadia Mono"/>
        <family val="3"/>
      </rPr>
      <t>FOREIGN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KEY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CategoryID</t>
    </r>
    <r>
      <rPr>
        <sz val="9"/>
        <color rgb="FF808080"/>
        <rFont val="Cascadia Mono"/>
        <family val="3"/>
      </rPr>
      <t>)</t>
    </r>
  </si>
  <si>
    <r>
      <t xml:space="preserve">        </t>
    </r>
    <r>
      <rPr>
        <sz val="9"/>
        <color rgb="FF0000FF"/>
        <rFont val="Cascadia Mono"/>
        <family val="3"/>
      </rPr>
      <t>REFERENCES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Category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CategoryID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</si>
  <si>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CK_Product_UnitPrice </t>
    </r>
    <r>
      <rPr>
        <sz val="9"/>
        <color rgb="FF0000FF"/>
        <rFont val="Cascadia Mono"/>
        <family val="3"/>
      </rPr>
      <t xml:space="preserve">CHECK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 xml:space="preserve">UnitPrice </t>
    </r>
    <r>
      <rPr>
        <sz val="9"/>
        <color rgb="FF808080"/>
        <rFont val="Cascadia Mono"/>
        <family val="3"/>
      </rPr>
      <t>&gt;=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</si>
  <si>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CK_Product_Stock </t>
    </r>
    <r>
      <rPr>
        <sz val="9"/>
        <color rgb="FF0000FF"/>
        <rFont val="Cascadia Mono"/>
        <family val="3"/>
      </rPr>
      <t xml:space="preserve">CHECK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 xml:space="preserve">Stock </t>
    </r>
    <r>
      <rPr>
        <sz val="9"/>
        <color rgb="FF808080"/>
        <rFont val="Cascadia Mono"/>
        <family val="3"/>
      </rPr>
      <t>&gt;=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)</t>
    </r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</si>
  <si>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Sale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</si>
  <si>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OrderID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DEFAULT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NEWSEQUENTIALID</t>
    </r>
    <r>
      <rPr>
        <sz val="9"/>
        <color rgb="FF808080"/>
        <rFont val="Cascadia Mono"/>
        <family val="3"/>
      </rPr>
      <t>(),</t>
    </r>
  </si>
  <si>
    <r>
      <t xml:space="preserve">    CustomerID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</si>
  <si>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</t>
    </r>
    <r>
      <rPr>
        <sz val="9"/>
        <color rgb="FF0000FF"/>
        <rFont val="Cascadia Mono"/>
        <family val="3"/>
      </rPr>
      <t>Date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DATETIME2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DF_Sale_Date </t>
    </r>
    <r>
      <rPr>
        <sz val="9"/>
        <color rgb="FF0000FF"/>
        <rFont val="Cascadia Mono"/>
        <family val="3"/>
      </rPr>
      <t>DEFAULT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SYSDATETIME</t>
    </r>
    <r>
      <rPr>
        <sz val="9"/>
        <color rgb="FF808080"/>
        <rFont val="Cascadia Mono"/>
        <family val="3"/>
      </rPr>
      <t>()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</si>
  <si>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PK_Sale_OrderID </t>
    </r>
    <r>
      <rPr>
        <sz val="9"/>
        <color rgb="FF0000FF"/>
        <rFont val="Cascadia Mono"/>
        <family val="3"/>
      </rPr>
      <t>PRIMARY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KEY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CLUSTERED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OrderID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</si>
  <si>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FK_Sale_Customer_CustomerID </t>
    </r>
    <r>
      <rPr>
        <sz val="9"/>
        <color rgb="FF0000FF"/>
        <rFont val="Cascadia Mono"/>
        <family val="3"/>
      </rPr>
      <t>FOREIGN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KEY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CustomerID</t>
    </r>
    <r>
      <rPr>
        <sz val="9"/>
        <color rgb="FF808080"/>
        <rFont val="Cascadia Mono"/>
        <family val="3"/>
      </rPr>
      <t>)</t>
    </r>
  </si>
  <si>
    <r>
      <t xml:space="preserve">        </t>
    </r>
    <r>
      <rPr>
        <sz val="9"/>
        <color rgb="FF0000FF"/>
        <rFont val="Cascadia Mono"/>
        <family val="3"/>
      </rPr>
      <t>REFERENCES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Customer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CustomerID</t>
    </r>
    <r>
      <rPr>
        <sz val="9"/>
        <color rgb="FF808080"/>
        <rFont val="Cascadia Mono"/>
        <family val="3"/>
      </rPr>
      <t>)</t>
    </r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</si>
  <si>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Invoice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</si>
  <si>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OrderID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</si>
  <si>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ProductID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</si>
  <si>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Qty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</si>
  <si>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PK_Invoice_OrderID_ProductID </t>
    </r>
    <r>
      <rPr>
        <sz val="9"/>
        <color rgb="FF0000FF"/>
        <rFont val="Cascadia Mono"/>
        <family val="3"/>
      </rPr>
      <t>PRIMARY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KEY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CLUSTERED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OrderID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ProductID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</si>
  <si>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FK_Invoice_Sale_OrderID </t>
    </r>
    <r>
      <rPr>
        <sz val="9"/>
        <color rgb="FF0000FF"/>
        <rFont val="Cascadia Mono"/>
        <family val="3"/>
      </rPr>
      <t>FOREIGN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KEY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OrderID</t>
    </r>
    <r>
      <rPr>
        <sz val="9"/>
        <color rgb="FF808080"/>
        <rFont val="Cascadia Mono"/>
        <family val="3"/>
      </rPr>
      <t>)</t>
    </r>
  </si>
  <si>
    <r>
      <t xml:space="preserve">        </t>
    </r>
    <r>
      <rPr>
        <sz val="9"/>
        <color rgb="FF0000FF"/>
        <rFont val="Cascadia Mono"/>
        <family val="3"/>
      </rPr>
      <t>REFERENCES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Sale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OrderID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DELETE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CASCADE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</si>
  <si>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FK_Invoice_Product_ProductID </t>
    </r>
    <r>
      <rPr>
        <sz val="9"/>
        <color rgb="FF0000FF"/>
        <rFont val="Cascadia Mono"/>
        <family val="3"/>
      </rPr>
      <t>FOREIGN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KEY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ProductID</t>
    </r>
    <r>
      <rPr>
        <sz val="9"/>
        <color rgb="FF808080"/>
        <rFont val="Cascadia Mono"/>
        <family val="3"/>
      </rPr>
      <t>)</t>
    </r>
  </si>
  <si>
    <r>
      <t xml:space="preserve">        </t>
    </r>
    <r>
      <rPr>
        <sz val="9"/>
        <color rgb="FF0000FF"/>
        <rFont val="Cascadia Mono"/>
        <family val="3"/>
      </rPr>
      <t>REFERENCES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Product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ProductID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</si>
  <si>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CK_Invoice_Qty </t>
    </r>
    <r>
      <rPr>
        <sz val="9"/>
        <color rgb="FF0000FF"/>
        <rFont val="Cascadia Mono"/>
        <family val="3"/>
      </rPr>
      <t xml:space="preserve">CHECK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 xml:space="preserve">Qty </t>
    </r>
    <r>
      <rPr>
        <sz val="9"/>
        <color rgb="FF808080"/>
        <rFont val="Cascadia Mono"/>
        <family val="3"/>
      </rPr>
      <t>&gt;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</si>
  <si>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0000FF"/>
        <rFont val="Cascadia Mono"/>
        <family val="3"/>
      </rPr>
      <t>CONSTRAINT</t>
    </r>
    <r>
      <rPr>
        <sz val="9"/>
        <color rgb="FF000000"/>
        <rFont val="Cascadia Mono"/>
        <family val="3"/>
      </rPr>
      <t xml:space="preserve"> CK_Invoice_UnitPrice </t>
    </r>
    <r>
      <rPr>
        <sz val="9"/>
        <color rgb="FF0000FF"/>
        <rFont val="Cascadia Mono"/>
        <family val="3"/>
      </rPr>
      <t xml:space="preserve">CHECK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 xml:space="preserve">UnitPrice </t>
    </r>
    <r>
      <rPr>
        <sz val="9"/>
        <color rgb="FF808080"/>
        <rFont val="Cascadia Mono"/>
        <family val="3"/>
      </rPr>
      <t>&gt;=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)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</si>
  <si>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N'Budi Santoso'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N'budi@mail.com'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N'Jakarta'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</si>
  <si>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N'Siti Aminah'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N'siti@mail.com'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N'Bandung'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</si>
  <si>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N'Andi Wijaya'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N'andi@mail.com'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N'Surabaya'</t>
    </r>
    <r>
      <rPr>
        <sz val="9"/>
        <color rgb="FF808080"/>
        <rFont val="Cascadia Mono"/>
        <family val="3"/>
      </rPr>
      <t>);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</si>
  <si>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Category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FF"/>
        <rFont val="Cascadia Mono"/>
        <family val="3"/>
      </rPr>
      <t>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SubCategoryID</t>
    </r>
    <r>
      <rPr>
        <sz val="9"/>
        <color rgb="FF808080"/>
        <rFont val="Cascadia Mono"/>
        <family val="3"/>
      </rPr>
      <t>)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</si>
  <si>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N'Elektronik'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NULL),</t>
    </r>
    <r>
      <rPr>
        <sz val="9"/>
        <color rgb="FF000000"/>
        <rFont val="Cascadia Mono"/>
        <family val="3"/>
      </rPr>
      <t xml:space="preserve">     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</si>
  <si>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N'Alat Tulis'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NULL),</t>
    </r>
    <r>
      <rPr>
        <sz val="9"/>
        <color rgb="FF000000"/>
        <rFont val="Cascadia Mono"/>
        <family val="3"/>
      </rPr>
      <t xml:space="preserve">       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</si>
  <si>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N'Aksesoris Komputer'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NULL);</t>
    </r>
    <r>
      <rPr>
        <sz val="9"/>
        <color rgb="FF000000"/>
        <rFont val="Cascadia Mono"/>
        <family val="3"/>
      </rPr>
      <t xml:space="preserve">  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</si>
  <si>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Product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CategoryID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UnitPrice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Stock</t>
    </r>
    <r>
      <rPr>
        <sz val="9"/>
        <color rgb="FF808080"/>
        <rFont val="Cascadia Mono"/>
        <family val="3"/>
      </rPr>
      <t>)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</si>
  <si>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N'Monitor 24 inci'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1850000.00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  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</si>
  <si>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N'Headset USB'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350000.00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25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       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</si>
  <si>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N'Buku Catatan A5'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25000.00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    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</si>
  <si>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N'Pulpen Gel (isi 12)'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48000.00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50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 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</si>
  <si>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N'Mouse Wireless'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150000.00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40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     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</si>
  <si>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N'Keyboard Mekanik'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750000.00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15</t>
    </r>
    <r>
      <rPr>
        <sz val="9"/>
        <color rgb="FF808080"/>
        <rFont val="Cascadia Mono"/>
        <family val="3"/>
      </rPr>
      <t>);</t>
    </r>
    <r>
      <rPr>
        <sz val="9"/>
        <color rgb="FF000000"/>
        <rFont val="Cascadia Mono"/>
        <family val="3"/>
      </rPr>
      <t xml:space="preserve">     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</si>
  <si>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'FDF35447-D6A3-41A8-B869-AFB570F9D3F5'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'2026-09-01'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</si>
  <si>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'6D311396-FEF5-4F52-ABBB-8849004FD10C'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'2026-09-10'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</si>
  <si>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'C82B90AE-D17C-456D-B0A1-10FDE9A511C1'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'2026-09-12'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</si>
  <si>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'FDF35447-D6A3-41A8-B869-AFB570F9D3F5'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'2026-09-15'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</si>
  <si>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'6D311396-FEF5-4F52-ABBB-8849004FD10C'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'2026-09-18'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</si>
  <si>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'C82B90AE-D17C-456D-B0A1-10FDE9A511C1'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'2026-09-20'</t>
    </r>
    <r>
      <rPr>
        <sz val="9"/>
        <color rgb="FF808080"/>
        <rFont val="Cascadia Mono"/>
        <family val="3"/>
      </rPr>
      <t>);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</si>
  <si>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'75F5268A-F5B7-F111-AFD6-EA2DDFA59A0D'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1850000.00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</si>
  <si>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'75F5268A-F5B7-F111-AFD6-EA2DDFA59A0D'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5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150000.00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</si>
  <si>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'76F5268A-F5B7-F111-AFD6-EA2DDFA59A0D'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6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750000.00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</si>
  <si>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'76F5268A-F5B7-F111-AFD6-EA2DDFA59A0D'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5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150000.00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</si>
  <si>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'77F5268A-F5B7-F111-AFD6-EA2DDFA59A0D'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350000.00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</si>
  <si>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'78F5268A-F5B7-F111-AFD6-EA2DDFA59A0D'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25000.00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</si>
  <si>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'78F5268A-F5B7-F111-AFD6-EA2DDFA59A0D'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4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48000.00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</si>
  <si>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'79F5268A-F5B7-F111-AFD6-EA2DDFA59A0D'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375000.00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</si>
  <si>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'79F5268A-F5B7-F111-AFD6-EA2DDFA59A0D'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5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25000.00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</si>
  <si>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'79F5268A-F5B7-F111-AFD6-EA2DDFA59A0D'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4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48000.00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</si>
  <si>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'7AF5268A-F5B7-F111-AFD6-EA2DDFA59A0D'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1850000.00</t>
    </r>
    <r>
      <rPr>
        <sz val="9"/>
        <color rgb="FF808080"/>
        <rFont val="Cascadia Mono"/>
        <family val="3"/>
      </rPr>
      <t>),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</si>
  <si>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'7AF5268A-F5B7-F111-AFD6-EA2DDFA59A0D'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6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750000.00</t>
    </r>
    <r>
      <rPr>
        <sz val="9"/>
        <color rgb="FF808080"/>
        <rFont val="Cascadia Mono"/>
        <family val="3"/>
      </rPr>
      <t>);</t>
    </r>
    <r>
      <rPr>
        <sz val="9"/>
        <color rgb="FF000000"/>
        <rFont val="Cascadia Mono"/>
        <family val="3"/>
      </rPr>
      <t xml:space="preserve">  </t>
    </r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</si>
  <si>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Invoice</t>
    </r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</si>
  <si>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Customer</t>
    </r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</si>
  <si>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Sale</t>
    </r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</si>
  <si>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Category</t>
    </r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</si>
  <si>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dbo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Product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</si>
</sst>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$Rp-421]#,##0.00"/>
    <numFmt numFmtId="166" formatCode="[$Rp-421]#,##0"/>
  </numFmts>
  <fonts count="23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3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808080"/>
      <name val="Arial"/>
    </font>
    <font>
      <i/>
      <sz val="10"/>
      <name val="Arial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name val="Arial"/>
      <family val="2"/>
    </font>
    <font>
      <b/>
      <u/>
      <sz val="11"/>
      <color rgb="FFFFFFFF"/>
      <name val="Arial"/>
      <family val="2"/>
    </font>
    <font>
      <i/>
      <sz val="9"/>
      <color rgb="FF808080"/>
      <name val="Arial"/>
      <family val="2"/>
    </font>
    <font>
      <sz val="8"/>
      <name val="Calibri"/>
      <family val="2"/>
      <scheme val="minor"/>
    </font>
    <font>
      <sz val="9"/>
      <color rgb="FF000000"/>
      <name val="Cascadia Mono"/>
      <family val="3"/>
    </font>
    <font>
      <sz val="9"/>
      <color rgb="FF0000FF"/>
      <name val="Cascadia Mono"/>
      <family val="3"/>
    </font>
    <font>
      <sz val="9"/>
      <color rgb="FF808080"/>
      <name val="Cascadia Mono"/>
      <family val="3"/>
    </font>
    <font>
      <sz val="9"/>
      <color rgb="FFFF0000"/>
      <name val="Cascadia Mono"/>
      <family val="3"/>
    </font>
    <font>
      <sz val="9"/>
      <color rgb="FFFF00FF"/>
      <name val="Cascadia Mono"/>
      <family val="3"/>
    </font>
    <font>
      <sz val="9"/>
      <color rgb="FF008000"/>
      <name val="Cascadia Mono"/>
      <family val="3"/>
    </font>
    <font>
      <sz val="9"/>
      <color rgb="FF00FF00"/>
      <name val="Cascadia Mono"/>
      <family val="3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0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1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1" xfId="0" applyFont="1" applyBorder="1" applyAlignment="1">
      <alignment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wrapText="1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5" fontId="6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0" fontId="10" fillId="6" borderId="0" xfId="0" applyFont="1" applyFill="1"/>
    <xf numFmtId="0" fontId="14" fillId="0" borderId="0" xfId="0" applyFont="1"/>
    <xf numFmtId="0" fontId="4" fillId="0" borderId="1" xfId="0" applyFont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0" fontId="0" fillId="6" borderId="1" xfId="0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426720</xdr:colOff>
      <xdr:row>1</xdr:row>
      <xdr:rowOff>129540</xdr:rowOff>
    </xdr:from>
    <xdr:to>
      <xdr:col>16</xdr:col>
      <xdr:colOff>236785</xdr:colOff>
      <xdr:row>26</xdr:row>
      <xdr:rowOff>76592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D13C83-E5FD-6508-0CE4-1E8E71D21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4720" y="312420"/>
          <a:ext cx="6515665" cy="4519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4.4"/>
  <cols>
    <col min="1" max="1" width="16" customWidth="1"/>
    <col min="2" max="2" width="40" customWidth="1"/>
  </cols>
  <sheetData>
    <row r="1" spans="1:1" ht="17.399999999999999">
      <c r="A1" s="1" t="s">
        <v>0</v>
      </c>
    </row>
    <row r="3" spans="1:1">
      <c r="A3" s="2" t="s">
        <v>1</v>
      </c>
    </row>
    <row r="4" spans="1:1">
      <c r="A4" s="2"/>
    </row>
    <row r="5" spans="1:1">
      <c r="A5" s="2" t="s">
        <v>2</v>
      </c>
    </row>
    <row r="6" spans="1:1">
      <c r="A6" s="2" t="s">
        <v>3</v>
      </c>
    </row>
    <row r="7" spans="1:1">
      <c r="A7" s="2"/>
    </row>
    <row r="8" spans="1:1">
      <c r="A8" s="2" t="s">
        <v>4</v>
      </c>
    </row>
    <row r="9" spans="1:1">
      <c r="A9" s="2" t="s">
        <v>5</v>
      </c>
    </row>
    <row r="10" spans="1:1">
      <c r="A10" s="2" t="s">
        <v>6</v>
      </c>
    </row>
    <row r="11" spans="1:1">
      <c r="A11" s="2"/>
    </row>
    <row r="12" spans="1:1">
      <c r="A12" s="2" t="s">
        <v>7</v>
      </c>
    </row>
    <row r="13" spans="1:1">
      <c r="A13" s="2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2">
      <c r="A17" s="2" t="s">
        <v>12</v>
      </c>
    </row>
    <row r="18" spans="1:2">
      <c r="A18" s="2"/>
    </row>
    <row r="19" spans="1:2">
      <c r="A19" s="2" t="s">
        <v>13</v>
      </c>
    </row>
    <row r="21" spans="1:2">
      <c r="A21" s="3" t="s">
        <v>14</v>
      </c>
    </row>
    <row r="22" spans="1:2">
      <c r="A22" s="4"/>
      <c r="B22" s="5" t="s">
        <v>15</v>
      </c>
    </row>
    <row r="23" spans="1:2">
      <c r="A23" s="6"/>
      <c r="B23" s="5" t="s">
        <v>16</v>
      </c>
    </row>
    <row r="24" spans="1:2">
      <c r="A24" s="7"/>
      <c r="B24" s="5" t="s">
        <v>17</v>
      </c>
    </row>
    <row r="25" spans="1:2">
      <c r="A25" s="8"/>
      <c r="B25" s="5" t="s">
        <v>18</v>
      </c>
    </row>
    <row r="27" spans="1:2">
      <c r="A27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7"/>
  <sheetViews>
    <sheetView workbookViewId="0">
      <selection activeCell="L4" sqref="L4"/>
    </sheetView>
  </sheetViews>
  <sheetFormatPr defaultRowHeight="14.4"/>
  <cols>
    <col min="1" max="1" width="11" customWidth="1"/>
    <col min="2" max="2" width="12" customWidth="1"/>
    <col min="3" max="3" width="10" customWidth="1"/>
    <col min="4" max="4" width="15" customWidth="1"/>
    <col min="5" max="5" width="16" customWidth="1"/>
    <col min="6" max="7" width="10" customWidth="1"/>
    <col min="8" max="8" width="20" customWidth="1"/>
    <col min="9" max="9" width="10" customWidth="1"/>
    <col min="10" max="10" width="18" customWidth="1"/>
    <col min="11" max="11" width="6" customWidth="1"/>
    <col min="12" max="12" width="13" customWidth="1"/>
    <col min="13" max="13" width="14" customWidth="1"/>
    <col min="16" max="17" width="12.77734375" customWidth="1"/>
  </cols>
  <sheetData>
    <row r="1" spans="1:17" ht="16.8">
      <c r="A1" s="10" t="s">
        <v>20</v>
      </c>
    </row>
    <row r="3" spans="1:17">
      <c r="A3" s="3" t="s">
        <v>21</v>
      </c>
    </row>
    <row r="4" spans="1:17" ht="41.4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  <c r="O4" s="26"/>
      <c r="P4" s="26"/>
      <c r="Q4" s="26"/>
    </row>
    <row r="5" spans="1:17" ht="48" customHeight="1">
      <c r="A5" s="12" t="s">
        <v>35</v>
      </c>
      <c r="B5" s="13">
        <v>46266</v>
      </c>
      <c r="C5" s="12" t="s">
        <v>36</v>
      </c>
      <c r="D5" s="12" t="s">
        <v>37</v>
      </c>
      <c r="E5" s="12" t="s">
        <v>38</v>
      </c>
      <c r="F5" s="12" t="s">
        <v>39</v>
      </c>
      <c r="G5" s="27" t="s">
        <v>40</v>
      </c>
      <c r="H5" s="12" t="s">
        <v>41</v>
      </c>
      <c r="I5" s="12" t="s">
        <v>42</v>
      </c>
      <c r="J5" s="12" t="s">
        <v>43</v>
      </c>
      <c r="K5" s="12" t="s">
        <v>44</v>
      </c>
      <c r="L5" s="12" t="s">
        <v>45</v>
      </c>
      <c r="M5" s="14">
        <v>2150000</v>
      </c>
      <c r="O5" s="25"/>
      <c r="P5" s="42"/>
      <c r="Q5" s="42"/>
    </row>
    <row r="6" spans="1:17" ht="48" customHeight="1">
      <c r="A6" s="12" t="s">
        <v>46</v>
      </c>
      <c r="B6" s="13">
        <v>46275</v>
      </c>
      <c r="C6" s="12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J6" s="12" t="s">
        <v>54</v>
      </c>
      <c r="K6" s="12" t="s">
        <v>55</v>
      </c>
      <c r="L6" s="12" t="s">
        <v>56</v>
      </c>
      <c r="M6" s="14">
        <v>900000</v>
      </c>
      <c r="O6" s="25"/>
      <c r="P6" s="26"/>
      <c r="Q6" s="26"/>
    </row>
    <row r="7" spans="1:17" ht="48" customHeight="1">
      <c r="A7" s="12" t="s">
        <v>57</v>
      </c>
      <c r="B7" s="13">
        <v>46277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2" t="s">
        <v>64</v>
      </c>
      <c r="J7" s="12" t="s">
        <v>65</v>
      </c>
      <c r="K7" s="12" t="s">
        <v>66</v>
      </c>
      <c r="L7" s="12" t="s">
        <v>67</v>
      </c>
      <c r="M7" s="14">
        <v>1050000</v>
      </c>
      <c r="O7" s="25"/>
      <c r="P7" s="26"/>
      <c r="Q7" s="26"/>
    </row>
    <row r="8" spans="1:17" ht="48" customHeight="1">
      <c r="A8" s="12" t="s">
        <v>68</v>
      </c>
      <c r="B8" s="13">
        <v>46280</v>
      </c>
      <c r="C8" s="12" t="s">
        <v>36</v>
      </c>
      <c r="D8" s="12" t="s">
        <v>37</v>
      </c>
      <c r="E8" s="12" t="s">
        <v>38</v>
      </c>
      <c r="F8" s="12" t="s">
        <v>39</v>
      </c>
      <c r="G8" s="12" t="s">
        <v>69</v>
      </c>
      <c r="H8" s="12" t="s">
        <v>70</v>
      </c>
      <c r="I8" s="12" t="s">
        <v>71</v>
      </c>
      <c r="J8" s="12" t="s">
        <v>72</v>
      </c>
      <c r="K8" s="12" t="s">
        <v>73</v>
      </c>
      <c r="L8" s="12" t="s">
        <v>74</v>
      </c>
      <c r="M8" s="14">
        <v>346000</v>
      </c>
      <c r="O8" s="25"/>
      <c r="P8" s="26"/>
      <c r="Q8" s="26"/>
    </row>
    <row r="9" spans="1:17" ht="48" customHeight="1">
      <c r="A9" s="12" t="s">
        <v>75</v>
      </c>
      <c r="B9" s="13">
        <v>46283</v>
      </c>
      <c r="C9" s="12" t="s">
        <v>47</v>
      </c>
      <c r="D9" s="12" t="s">
        <v>48</v>
      </c>
      <c r="E9" s="12" t="s">
        <v>49</v>
      </c>
      <c r="F9" s="12" t="s">
        <v>50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4">
        <v>548000</v>
      </c>
      <c r="O9" s="25"/>
      <c r="P9" s="26"/>
      <c r="Q9" s="26"/>
    </row>
    <row r="10" spans="1:17" ht="48" customHeight="1">
      <c r="A10" s="12" t="s">
        <v>82</v>
      </c>
      <c r="B10" s="13">
        <v>46285</v>
      </c>
      <c r="C10" s="12" t="s">
        <v>58</v>
      </c>
      <c r="D10" s="12" t="s">
        <v>59</v>
      </c>
      <c r="E10" s="12" t="s">
        <v>60</v>
      </c>
      <c r="F10" s="12" t="s">
        <v>61</v>
      </c>
      <c r="G10" s="12" t="s">
        <v>83</v>
      </c>
      <c r="H10" s="12" t="s">
        <v>84</v>
      </c>
      <c r="I10" s="12" t="s">
        <v>42</v>
      </c>
      <c r="J10" s="12" t="s">
        <v>43</v>
      </c>
      <c r="K10" s="12" t="s">
        <v>85</v>
      </c>
      <c r="L10" s="12" t="s">
        <v>86</v>
      </c>
      <c r="M10" s="14">
        <v>4450000</v>
      </c>
      <c r="O10" s="25"/>
      <c r="P10" s="26"/>
      <c r="Q10" s="26"/>
    </row>
    <row r="12" spans="1:17">
      <c r="A12" s="41" t="s">
        <v>100</v>
      </c>
      <c r="B12" s="4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7">
      <c r="A13" s="20"/>
      <c r="B13" s="21" t="s">
        <v>101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7">
      <c r="A14" s="20"/>
      <c r="B14" s="2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7">
      <c r="A15" s="20"/>
      <c r="B15" s="2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7">
      <c r="A16" s="20"/>
      <c r="B16" s="2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>
      <c r="B18" s="21" t="s">
        <v>102</v>
      </c>
    </row>
    <row r="19" spans="1:13">
      <c r="B19" s="22"/>
    </row>
    <row r="20" spans="1:13">
      <c r="B20" s="22"/>
    </row>
    <row r="21" spans="1:13">
      <c r="B21" s="22"/>
    </row>
    <row r="23" spans="1:13">
      <c r="B23" s="21" t="s">
        <v>103</v>
      </c>
    </row>
    <row r="24" spans="1:13">
      <c r="B24" s="22"/>
    </row>
    <row r="25" spans="1:13">
      <c r="B25" s="22"/>
    </row>
    <row r="26" spans="1:13">
      <c r="B26" s="22"/>
    </row>
    <row r="28" spans="1:13">
      <c r="B28" s="21" t="s">
        <v>104</v>
      </c>
    </row>
    <row r="29" spans="1:13">
      <c r="B29" s="22"/>
    </row>
    <row r="30" spans="1:13">
      <c r="B30" s="22"/>
    </row>
    <row r="31" spans="1:13">
      <c r="B31" s="22"/>
    </row>
    <row r="33" spans="2:2">
      <c r="B33" s="21" t="s">
        <v>105</v>
      </c>
    </row>
    <row r="34" spans="2:2">
      <c r="B34" s="22"/>
    </row>
    <row r="35" spans="2:2">
      <c r="B35" s="22"/>
    </row>
    <row r="36" spans="2:2">
      <c r="B36" s="23"/>
    </row>
    <row r="37" spans="2:2">
      <c r="B37" s="23"/>
    </row>
    <row r="38" spans="2:2">
      <c r="B38" s="23"/>
    </row>
    <row r="39" spans="2:2">
      <c r="B39" s="23"/>
    </row>
    <row r="40" spans="2:2">
      <c r="B40" s="23"/>
    </row>
    <row r="41" spans="2:2">
      <c r="B41" s="23"/>
    </row>
    <row r="43" spans="2:2">
      <c r="B43" s="21"/>
    </row>
    <row r="44" spans="2:2">
      <c r="B44" s="22"/>
    </row>
    <row r="45" spans="2:2">
      <c r="B45" s="22"/>
    </row>
    <row r="46" spans="2:2">
      <c r="B46" s="22"/>
    </row>
    <row r="48" spans="2:2">
      <c r="B48" s="21"/>
    </row>
    <row r="49" spans="2:2">
      <c r="B49" s="22"/>
    </row>
    <row r="50" spans="2:2">
      <c r="B50" s="22"/>
    </row>
    <row r="51" spans="2:2">
      <c r="B51" s="24"/>
    </row>
    <row r="52" spans="2:2">
      <c r="B52" s="22"/>
    </row>
    <row r="53" spans="2:2">
      <c r="B53" s="22"/>
    </row>
    <row r="54" spans="2:2">
      <c r="B54" s="22"/>
    </row>
    <row r="56" spans="2:2">
      <c r="B56" s="21"/>
    </row>
    <row r="57" spans="2:2">
      <c r="B57" s="22"/>
    </row>
    <row r="58" spans="2:2">
      <c r="B58" s="22"/>
    </row>
    <row r="60" spans="2:2">
      <c r="B60" s="21"/>
    </row>
    <row r="61" spans="2:2">
      <c r="B61" s="22"/>
    </row>
    <row r="62" spans="2:2">
      <c r="B62" s="22"/>
    </row>
    <row r="64" spans="2:2">
      <c r="B64" s="21"/>
    </row>
    <row r="65" spans="2:2">
      <c r="B65" s="22"/>
    </row>
    <row r="66" spans="2:2">
      <c r="B66" s="22"/>
    </row>
    <row r="67" spans="2:2">
      <c r="B67" s="22"/>
    </row>
  </sheetData>
  <mergeCells count="2">
    <mergeCell ref="A12:B12"/>
    <mergeCell ref="P5:Q5"/>
  </mergeCells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topLeftCell="C7" workbookViewId="0">
      <selection activeCell="L12" sqref="L12"/>
    </sheetView>
  </sheetViews>
  <sheetFormatPr defaultRowHeight="14.4"/>
  <cols>
    <col min="1" max="1" width="35.6640625" customWidth="1"/>
    <col min="2" max="2" width="68.77734375" customWidth="1"/>
    <col min="3" max="3" width="15.109375" customWidth="1"/>
    <col min="4" max="4" width="17.88671875" customWidth="1"/>
    <col min="5" max="5" width="20" customWidth="1"/>
    <col min="6" max="6" width="14.77734375" customWidth="1"/>
    <col min="7" max="7" width="13" customWidth="1"/>
    <col min="8" max="8" width="18.109375" customWidth="1"/>
    <col min="9" max="9" width="14.6640625" customWidth="1"/>
    <col min="10" max="10" width="17.88671875" customWidth="1"/>
    <col min="11" max="11" width="8.88671875" customWidth="1"/>
    <col min="12" max="12" width="14.44140625" style="31" customWidth="1"/>
    <col min="13" max="13" width="16.5546875" customWidth="1"/>
  </cols>
  <sheetData>
    <row r="1" spans="1:13" ht="16.8">
      <c r="A1" s="10" t="s">
        <v>87</v>
      </c>
    </row>
    <row r="2" spans="1:13">
      <c r="A2" s="2" t="s">
        <v>88</v>
      </c>
    </row>
    <row r="3" spans="1:13">
      <c r="A3" s="2" t="s">
        <v>89</v>
      </c>
    </row>
    <row r="5" spans="1:13">
      <c r="A5" s="3" t="s">
        <v>90</v>
      </c>
    </row>
    <row r="6" spans="1:13" ht="36" customHeight="1">
      <c r="A6" s="15" t="s">
        <v>16</v>
      </c>
      <c r="B6" s="16" t="s">
        <v>123</v>
      </c>
      <c r="C6" s="17" t="s">
        <v>91</v>
      </c>
    </row>
    <row r="7" spans="1:13" ht="52.2" customHeight="1">
      <c r="A7" s="15" t="s">
        <v>92</v>
      </c>
      <c r="B7" s="29" t="s">
        <v>124</v>
      </c>
      <c r="C7" s="35" t="s">
        <v>93</v>
      </c>
    </row>
    <row r="8" spans="1:13" ht="60.6" customHeight="1">
      <c r="A8" s="15" t="s">
        <v>94</v>
      </c>
      <c r="B8" s="30" t="s">
        <v>125</v>
      </c>
    </row>
    <row r="10" spans="1:13">
      <c r="A10" s="3" t="s">
        <v>95</v>
      </c>
      <c r="B10" s="21"/>
    </row>
    <row r="11" spans="1:13" ht="27.6">
      <c r="A11" s="28" t="s">
        <v>22</v>
      </c>
      <c r="B11" s="11" t="s">
        <v>23</v>
      </c>
      <c r="C11" s="11" t="s">
        <v>24</v>
      </c>
      <c r="D11" s="11" t="s">
        <v>25</v>
      </c>
      <c r="E11" s="11" t="s">
        <v>26</v>
      </c>
      <c r="F11" s="11" t="s">
        <v>27</v>
      </c>
      <c r="G11" s="28" t="s">
        <v>28</v>
      </c>
      <c r="H11" s="11" t="s">
        <v>29</v>
      </c>
      <c r="I11" s="11" t="s">
        <v>30</v>
      </c>
      <c r="J11" s="11" t="s">
        <v>31</v>
      </c>
      <c r="K11" s="11" t="s">
        <v>32</v>
      </c>
      <c r="L11" s="32" t="s">
        <v>33</v>
      </c>
      <c r="M11" s="11" t="s">
        <v>34</v>
      </c>
    </row>
    <row r="12" spans="1:13">
      <c r="A12" s="12" t="s">
        <v>35</v>
      </c>
      <c r="B12" s="13">
        <v>46266</v>
      </c>
      <c r="C12" t="s">
        <v>36</v>
      </c>
      <c r="D12" s="12" t="s">
        <v>37</v>
      </c>
      <c r="E12" s="12" t="s">
        <v>38</v>
      </c>
      <c r="F12" s="12" t="s">
        <v>39</v>
      </c>
      <c r="G12" t="s">
        <v>108</v>
      </c>
      <c r="H12" t="s">
        <v>109</v>
      </c>
      <c r="I12" t="s">
        <v>64</v>
      </c>
      <c r="J12" t="s">
        <v>65</v>
      </c>
      <c r="K12">
        <v>1</v>
      </c>
      <c r="L12" s="38" t="s">
        <v>110</v>
      </c>
      <c r="M12" s="38" t="s">
        <v>110</v>
      </c>
    </row>
    <row r="13" spans="1:13">
      <c r="A13" s="12" t="s">
        <v>35</v>
      </c>
      <c r="B13" s="13">
        <v>46266</v>
      </c>
      <c r="C13" t="s">
        <v>36</v>
      </c>
      <c r="D13" s="12" t="s">
        <v>37</v>
      </c>
      <c r="E13" s="12" t="s">
        <v>38</v>
      </c>
      <c r="F13" s="12" t="s">
        <v>39</v>
      </c>
      <c r="G13" t="s">
        <v>111</v>
      </c>
      <c r="H13" t="s">
        <v>112</v>
      </c>
      <c r="I13" t="s">
        <v>113</v>
      </c>
      <c r="J13" t="s">
        <v>114</v>
      </c>
      <c r="K13">
        <v>2</v>
      </c>
      <c r="L13" s="33">
        <v>150000</v>
      </c>
      <c r="M13" s="33">
        <f>SUM(L13*K13)</f>
        <v>300000</v>
      </c>
    </row>
    <row r="14" spans="1:13">
      <c r="A14" s="12" t="s">
        <v>46</v>
      </c>
      <c r="B14" s="13">
        <v>46275</v>
      </c>
      <c r="C14" t="s">
        <v>47</v>
      </c>
      <c r="D14" s="12" t="s">
        <v>48</v>
      </c>
      <c r="E14" s="12" t="s">
        <v>49</v>
      </c>
      <c r="F14" s="12" t="s">
        <v>50</v>
      </c>
      <c r="G14" t="s">
        <v>115</v>
      </c>
      <c r="H14" t="s">
        <v>116</v>
      </c>
      <c r="I14" t="s">
        <v>113</v>
      </c>
      <c r="J14" t="s">
        <v>114</v>
      </c>
      <c r="K14">
        <v>1</v>
      </c>
      <c r="L14" s="33">
        <v>750000</v>
      </c>
      <c r="M14" s="33">
        <f t="shared" ref="M14:M23" si="0">SUM(L14*K14)</f>
        <v>750000</v>
      </c>
    </row>
    <row r="15" spans="1:13">
      <c r="A15" s="12" t="s">
        <v>46</v>
      </c>
      <c r="B15" s="13">
        <v>46275</v>
      </c>
      <c r="C15" t="s">
        <v>47</v>
      </c>
      <c r="D15" s="12" t="s">
        <v>48</v>
      </c>
      <c r="E15" s="12" t="s">
        <v>49</v>
      </c>
      <c r="F15" s="12" t="s">
        <v>50</v>
      </c>
      <c r="G15" t="s">
        <v>111</v>
      </c>
      <c r="H15" t="s">
        <v>112</v>
      </c>
      <c r="I15" t="s">
        <v>113</v>
      </c>
      <c r="J15" t="s">
        <v>114</v>
      </c>
      <c r="K15">
        <v>1</v>
      </c>
      <c r="L15" s="33">
        <v>150000</v>
      </c>
      <c r="M15" s="33">
        <f t="shared" si="0"/>
        <v>150000</v>
      </c>
    </row>
    <row r="16" spans="1:13">
      <c r="A16" s="12" t="s">
        <v>57</v>
      </c>
      <c r="B16" s="13">
        <v>46277</v>
      </c>
      <c r="C16" t="s">
        <v>58</v>
      </c>
      <c r="D16" s="12" t="s">
        <v>59</v>
      </c>
      <c r="E16" s="12" t="s">
        <v>60</v>
      </c>
      <c r="F16" s="12" t="s">
        <v>61</v>
      </c>
      <c r="G16" t="s">
        <v>62</v>
      </c>
      <c r="H16" t="s">
        <v>63</v>
      </c>
      <c r="I16" t="s">
        <v>64</v>
      </c>
      <c r="J16" t="s">
        <v>65</v>
      </c>
      <c r="K16">
        <v>3</v>
      </c>
      <c r="L16" s="33">
        <v>350000</v>
      </c>
      <c r="M16" s="33">
        <f t="shared" si="0"/>
        <v>1050000</v>
      </c>
    </row>
    <row r="17" spans="1:13">
      <c r="A17" s="12" t="s">
        <v>68</v>
      </c>
      <c r="B17" s="13">
        <v>46280</v>
      </c>
      <c r="C17" t="s">
        <v>36</v>
      </c>
      <c r="D17" s="12" t="s">
        <v>37</v>
      </c>
      <c r="E17" s="12" t="s">
        <v>38</v>
      </c>
      <c r="F17" s="12" t="s">
        <v>39</v>
      </c>
      <c r="G17" t="s">
        <v>117</v>
      </c>
      <c r="H17" t="s">
        <v>118</v>
      </c>
      <c r="I17" t="s">
        <v>119</v>
      </c>
      <c r="J17" t="s">
        <v>120</v>
      </c>
      <c r="K17">
        <v>10</v>
      </c>
      <c r="L17" s="33">
        <v>25000</v>
      </c>
      <c r="M17" s="33">
        <f t="shared" si="0"/>
        <v>250000</v>
      </c>
    </row>
    <row r="18" spans="1:13">
      <c r="A18" s="12" t="s">
        <v>68</v>
      </c>
      <c r="B18" s="13">
        <v>46280</v>
      </c>
      <c r="C18" t="s">
        <v>36</v>
      </c>
      <c r="D18" s="12" t="s">
        <v>37</v>
      </c>
      <c r="E18" s="12" t="s">
        <v>38</v>
      </c>
      <c r="F18" s="12" t="s">
        <v>39</v>
      </c>
      <c r="G18" t="s">
        <v>121</v>
      </c>
      <c r="H18" t="s">
        <v>122</v>
      </c>
      <c r="I18" t="s">
        <v>119</v>
      </c>
      <c r="J18" t="s">
        <v>120</v>
      </c>
      <c r="K18">
        <v>2</v>
      </c>
      <c r="L18" s="33">
        <v>48000</v>
      </c>
      <c r="M18" s="33">
        <f t="shared" si="0"/>
        <v>96000</v>
      </c>
    </row>
    <row r="19" spans="1:13">
      <c r="A19" s="12" t="s">
        <v>75</v>
      </c>
      <c r="B19" s="13">
        <v>46283</v>
      </c>
      <c r="C19" t="s">
        <v>47</v>
      </c>
      <c r="D19" s="12" t="s">
        <v>48</v>
      </c>
      <c r="E19" s="12" t="s">
        <v>49</v>
      </c>
      <c r="F19" s="12" t="s">
        <v>50</v>
      </c>
      <c r="G19" t="s">
        <v>62</v>
      </c>
      <c r="H19" t="s">
        <v>63</v>
      </c>
      <c r="I19" t="s">
        <v>64</v>
      </c>
      <c r="J19" t="s">
        <v>65</v>
      </c>
      <c r="K19">
        <v>1</v>
      </c>
      <c r="L19" s="33">
        <v>375000</v>
      </c>
      <c r="M19" s="33">
        <f t="shared" si="0"/>
        <v>375000</v>
      </c>
    </row>
    <row r="20" spans="1:13">
      <c r="A20" s="12" t="s">
        <v>75</v>
      </c>
      <c r="B20" s="13">
        <v>46283</v>
      </c>
      <c r="C20" t="s">
        <v>47</v>
      </c>
      <c r="D20" s="12" t="s">
        <v>48</v>
      </c>
      <c r="E20" s="12" t="s">
        <v>49</v>
      </c>
      <c r="F20" s="12" t="s">
        <v>50</v>
      </c>
      <c r="G20" t="s">
        <v>117</v>
      </c>
      <c r="H20" t="s">
        <v>118</v>
      </c>
      <c r="I20" t="s">
        <v>119</v>
      </c>
      <c r="J20" t="s">
        <v>120</v>
      </c>
      <c r="K20">
        <v>5</v>
      </c>
      <c r="L20" s="33">
        <v>25000</v>
      </c>
      <c r="M20" s="33">
        <f t="shared" si="0"/>
        <v>125000</v>
      </c>
    </row>
    <row r="21" spans="1:13">
      <c r="A21" s="12" t="s">
        <v>75</v>
      </c>
      <c r="B21" s="13">
        <v>46283</v>
      </c>
      <c r="C21" t="s">
        <v>47</v>
      </c>
      <c r="D21" s="12" t="s">
        <v>48</v>
      </c>
      <c r="E21" s="12" t="s">
        <v>49</v>
      </c>
      <c r="F21" s="12" t="s">
        <v>50</v>
      </c>
      <c r="G21" t="s">
        <v>121</v>
      </c>
      <c r="H21" t="s">
        <v>122</v>
      </c>
      <c r="I21" t="s">
        <v>119</v>
      </c>
      <c r="J21" t="s">
        <v>120</v>
      </c>
      <c r="K21">
        <v>1</v>
      </c>
      <c r="L21" s="33">
        <v>48000</v>
      </c>
      <c r="M21" s="33">
        <f t="shared" si="0"/>
        <v>48000</v>
      </c>
    </row>
    <row r="22" spans="1:13">
      <c r="A22" s="12" t="s">
        <v>82</v>
      </c>
      <c r="B22" s="13">
        <v>46285</v>
      </c>
      <c r="C22" t="s">
        <v>58</v>
      </c>
      <c r="D22" s="12" t="s">
        <v>59</v>
      </c>
      <c r="E22" s="12" t="s">
        <v>60</v>
      </c>
      <c r="F22" s="12" t="s">
        <v>61</v>
      </c>
      <c r="G22" t="s">
        <v>108</v>
      </c>
      <c r="H22" t="s">
        <v>109</v>
      </c>
      <c r="I22" t="s">
        <v>64</v>
      </c>
      <c r="J22" t="s">
        <v>65</v>
      </c>
      <c r="K22">
        <v>2</v>
      </c>
      <c r="L22" s="33">
        <v>1850000</v>
      </c>
      <c r="M22" s="33">
        <f t="shared" si="0"/>
        <v>3700000</v>
      </c>
    </row>
    <row r="23" spans="1:13">
      <c r="A23" s="12" t="s">
        <v>82</v>
      </c>
      <c r="B23" s="13">
        <v>46285</v>
      </c>
      <c r="C23" t="s">
        <v>58</v>
      </c>
      <c r="D23" s="12" t="s">
        <v>59</v>
      </c>
      <c r="E23" s="12" t="s">
        <v>60</v>
      </c>
      <c r="F23" s="12" t="s">
        <v>61</v>
      </c>
      <c r="G23" t="s">
        <v>115</v>
      </c>
      <c r="H23" t="s">
        <v>116</v>
      </c>
      <c r="I23" t="s">
        <v>113</v>
      </c>
      <c r="J23" t="s">
        <v>114</v>
      </c>
      <c r="K23">
        <v>1</v>
      </c>
      <c r="L23" s="33">
        <v>750000</v>
      </c>
      <c r="M23" s="33">
        <f t="shared" si="0"/>
        <v>750000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topLeftCell="A22" workbookViewId="0">
      <selection activeCell="D42" sqref="D31:D42"/>
    </sheetView>
  </sheetViews>
  <sheetFormatPr defaultRowHeight="14.4"/>
  <cols>
    <col min="1" max="1" width="36.77734375" customWidth="1"/>
    <col min="2" max="2" width="60" customWidth="1"/>
    <col min="3" max="3" width="30" customWidth="1"/>
    <col min="4" max="4" width="21.33203125" customWidth="1"/>
    <col min="5" max="5" width="19.109375" customWidth="1"/>
    <col min="6" max="6" width="12.33203125" customWidth="1"/>
    <col min="7" max="7" width="12.21875" customWidth="1"/>
  </cols>
  <sheetData>
    <row r="1" spans="1:7" ht="16.8">
      <c r="A1" s="10" t="s">
        <v>96</v>
      </c>
    </row>
    <row r="2" spans="1:7">
      <c r="A2" s="2" t="s">
        <v>97</v>
      </c>
    </row>
    <row r="3" spans="1:7">
      <c r="A3" s="2" t="s">
        <v>89</v>
      </c>
    </row>
    <row r="5" spans="1:7">
      <c r="A5" s="3" t="s">
        <v>90</v>
      </c>
    </row>
    <row r="6" spans="1:7" ht="36" customHeight="1">
      <c r="A6" s="15" t="s">
        <v>16</v>
      </c>
      <c r="B6" s="16" t="s">
        <v>131</v>
      </c>
      <c r="C6" s="17" t="s">
        <v>91</v>
      </c>
    </row>
    <row r="7" spans="1:7" ht="51.6" customHeight="1">
      <c r="A7" s="15" t="s">
        <v>92</v>
      </c>
      <c r="B7" s="39" t="s">
        <v>132</v>
      </c>
      <c r="C7" s="17" t="s">
        <v>93</v>
      </c>
    </row>
    <row r="8" spans="1:7" ht="36" customHeight="1">
      <c r="A8" s="15" t="s">
        <v>94</v>
      </c>
      <c r="B8" s="16" t="s">
        <v>133</v>
      </c>
    </row>
    <row r="10" spans="1:7">
      <c r="A10" s="3" t="s">
        <v>95</v>
      </c>
    </row>
    <row r="11" spans="1:7">
      <c r="A11" s="34" t="s">
        <v>126</v>
      </c>
    </row>
    <row r="12" spans="1:7">
      <c r="A12" s="28" t="s">
        <v>128</v>
      </c>
      <c r="B12" s="11" t="s">
        <v>23</v>
      </c>
      <c r="C12" s="11" t="s">
        <v>24</v>
      </c>
      <c r="D12" s="11" t="s">
        <v>25</v>
      </c>
      <c r="E12" s="11" t="s">
        <v>26</v>
      </c>
      <c r="F12" s="11" t="s">
        <v>27</v>
      </c>
      <c r="G12" s="37"/>
    </row>
    <row r="13" spans="1:7">
      <c r="A13" s="12" t="s">
        <v>35</v>
      </c>
      <c r="B13" s="13">
        <v>46266</v>
      </c>
      <c r="C13" s="36" t="s">
        <v>36</v>
      </c>
      <c r="D13" s="36" t="s">
        <v>37</v>
      </c>
      <c r="E13" s="12" t="s">
        <v>38</v>
      </c>
      <c r="F13" s="12" t="s">
        <v>39</v>
      </c>
      <c r="G13" s="14"/>
    </row>
    <row r="14" spans="1:7">
      <c r="A14" s="12" t="s">
        <v>46</v>
      </c>
      <c r="B14" s="13">
        <v>46275</v>
      </c>
      <c r="C14" s="36" t="s">
        <v>47</v>
      </c>
      <c r="D14" s="36" t="s">
        <v>48</v>
      </c>
      <c r="E14" s="12" t="s">
        <v>49</v>
      </c>
      <c r="F14" s="12" t="s">
        <v>50</v>
      </c>
      <c r="G14" s="14"/>
    </row>
    <row r="15" spans="1:7">
      <c r="A15" s="12" t="s">
        <v>57</v>
      </c>
      <c r="B15" s="13">
        <v>46277</v>
      </c>
      <c r="C15" s="36" t="s">
        <v>58</v>
      </c>
      <c r="D15" s="36" t="s">
        <v>59</v>
      </c>
      <c r="E15" s="12" t="s">
        <v>60</v>
      </c>
      <c r="F15" s="12" t="s">
        <v>61</v>
      </c>
      <c r="G15" s="14"/>
    </row>
    <row r="16" spans="1:7">
      <c r="A16" s="12" t="s">
        <v>68</v>
      </c>
      <c r="B16" s="13">
        <v>46280</v>
      </c>
      <c r="C16" s="36" t="s">
        <v>36</v>
      </c>
      <c r="D16" s="36" t="s">
        <v>37</v>
      </c>
      <c r="E16" s="12" t="s">
        <v>38</v>
      </c>
      <c r="F16" s="12" t="s">
        <v>39</v>
      </c>
      <c r="G16" s="14"/>
    </row>
    <row r="17" spans="1:7">
      <c r="A17" s="12" t="s">
        <v>75</v>
      </c>
      <c r="B17" s="13">
        <v>46283</v>
      </c>
      <c r="C17" s="36" t="s">
        <v>47</v>
      </c>
      <c r="D17" s="36" t="s">
        <v>48</v>
      </c>
      <c r="E17" s="12" t="s">
        <v>49</v>
      </c>
      <c r="F17" s="12" t="s">
        <v>50</v>
      </c>
      <c r="G17" s="14"/>
    </row>
    <row r="18" spans="1:7">
      <c r="A18" s="12" t="s">
        <v>82</v>
      </c>
      <c r="B18" s="13">
        <v>46285</v>
      </c>
      <c r="C18" s="36" t="s">
        <v>58</v>
      </c>
      <c r="D18" s="36" t="s">
        <v>59</v>
      </c>
      <c r="E18" s="12" t="s">
        <v>60</v>
      </c>
      <c r="F18" s="12" t="s">
        <v>61</v>
      </c>
      <c r="G18" s="14"/>
    </row>
    <row r="20" spans="1:7">
      <c r="A20" s="34" t="s">
        <v>127</v>
      </c>
    </row>
    <row r="21" spans="1:7">
      <c r="A21" s="28" t="s">
        <v>129</v>
      </c>
      <c r="B21" s="11" t="s">
        <v>29</v>
      </c>
      <c r="C21" s="11" t="s">
        <v>30</v>
      </c>
      <c r="D21" s="11" t="s">
        <v>31</v>
      </c>
    </row>
    <row r="22" spans="1:7">
      <c r="A22" t="s">
        <v>108</v>
      </c>
      <c r="B22" t="s">
        <v>109</v>
      </c>
      <c r="C22" s="19" t="s">
        <v>64</v>
      </c>
      <c r="D22" t="s">
        <v>65</v>
      </c>
    </row>
    <row r="23" spans="1:7">
      <c r="A23" t="s">
        <v>62</v>
      </c>
      <c r="B23" t="s">
        <v>63</v>
      </c>
      <c r="C23" s="19" t="s">
        <v>64</v>
      </c>
      <c r="D23" t="s">
        <v>65</v>
      </c>
    </row>
    <row r="24" spans="1:7">
      <c r="A24" t="s">
        <v>117</v>
      </c>
      <c r="B24" t="s">
        <v>118</v>
      </c>
      <c r="C24" s="19" t="s">
        <v>119</v>
      </c>
      <c r="D24" t="s">
        <v>120</v>
      </c>
    </row>
    <row r="25" spans="1:7">
      <c r="A25" t="s">
        <v>121</v>
      </c>
      <c r="B25" t="s">
        <v>122</v>
      </c>
      <c r="C25" s="19" t="s">
        <v>119</v>
      </c>
      <c r="D25" t="s">
        <v>120</v>
      </c>
    </row>
    <row r="26" spans="1:7">
      <c r="A26" t="s">
        <v>111</v>
      </c>
      <c r="B26" t="s">
        <v>112</v>
      </c>
      <c r="C26" s="19" t="s">
        <v>113</v>
      </c>
      <c r="D26" t="s">
        <v>114</v>
      </c>
    </row>
    <row r="27" spans="1:7">
      <c r="A27" t="s">
        <v>115</v>
      </c>
      <c r="B27" t="s">
        <v>112</v>
      </c>
      <c r="C27" s="19" t="s">
        <v>113</v>
      </c>
      <c r="D27" t="s">
        <v>114</v>
      </c>
    </row>
    <row r="29" spans="1:7">
      <c r="A29" s="34" t="s">
        <v>130</v>
      </c>
    </row>
    <row r="30" spans="1:7">
      <c r="A30" s="28" t="s">
        <v>106</v>
      </c>
      <c r="B30" s="28" t="s">
        <v>107</v>
      </c>
      <c r="C30" s="11" t="s">
        <v>32</v>
      </c>
      <c r="D30" s="11" t="s">
        <v>33</v>
      </c>
    </row>
    <row r="31" spans="1:7">
      <c r="A31" s="12" t="s">
        <v>35</v>
      </c>
      <c r="B31" t="s">
        <v>108</v>
      </c>
      <c r="C31">
        <v>1</v>
      </c>
      <c r="D31" s="38" t="s">
        <v>110</v>
      </c>
    </row>
    <row r="32" spans="1:7">
      <c r="A32" s="12" t="s">
        <v>35</v>
      </c>
      <c r="B32" t="s">
        <v>111</v>
      </c>
      <c r="C32">
        <v>2</v>
      </c>
      <c r="D32" s="33">
        <v>150000</v>
      </c>
    </row>
    <row r="33" spans="1:4">
      <c r="A33" s="12" t="s">
        <v>46</v>
      </c>
      <c r="B33" t="s">
        <v>115</v>
      </c>
      <c r="C33">
        <v>1</v>
      </c>
      <c r="D33" s="33">
        <v>750000</v>
      </c>
    </row>
    <row r="34" spans="1:4">
      <c r="A34" s="12" t="s">
        <v>46</v>
      </c>
      <c r="B34" t="s">
        <v>111</v>
      </c>
      <c r="C34">
        <v>1</v>
      </c>
      <c r="D34" s="33">
        <v>150000</v>
      </c>
    </row>
    <row r="35" spans="1:4">
      <c r="A35" s="12" t="s">
        <v>57</v>
      </c>
      <c r="B35" t="s">
        <v>62</v>
      </c>
      <c r="C35">
        <v>3</v>
      </c>
      <c r="D35" s="33">
        <v>350000</v>
      </c>
    </row>
    <row r="36" spans="1:4">
      <c r="A36" s="12" t="s">
        <v>68</v>
      </c>
      <c r="B36" t="s">
        <v>117</v>
      </c>
      <c r="C36">
        <v>10</v>
      </c>
      <c r="D36" s="33">
        <v>25000</v>
      </c>
    </row>
    <row r="37" spans="1:4">
      <c r="A37" s="12" t="s">
        <v>68</v>
      </c>
      <c r="B37" t="s">
        <v>121</v>
      </c>
      <c r="C37">
        <v>2</v>
      </c>
      <c r="D37" s="33">
        <v>48000</v>
      </c>
    </row>
    <row r="38" spans="1:4">
      <c r="A38" s="12" t="s">
        <v>75</v>
      </c>
      <c r="B38" t="s">
        <v>62</v>
      </c>
      <c r="C38">
        <v>1</v>
      </c>
      <c r="D38" s="33">
        <v>375000</v>
      </c>
    </row>
    <row r="39" spans="1:4">
      <c r="A39" s="12" t="s">
        <v>75</v>
      </c>
      <c r="B39" t="s">
        <v>117</v>
      </c>
      <c r="C39">
        <v>5</v>
      </c>
      <c r="D39" s="33">
        <v>25000</v>
      </c>
    </row>
    <row r="40" spans="1:4">
      <c r="A40" s="12" t="s">
        <v>75</v>
      </c>
      <c r="B40" t="s">
        <v>121</v>
      </c>
      <c r="C40">
        <v>1</v>
      </c>
      <c r="D40" s="33">
        <v>48000</v>
      </c>
    </row>
    <row r="41" spans="1:4">
      <c r="A41" s="12" t="s">
        <v>82</v>
      </c>
      <c r="B41" t="s">
        <v>108</v>
      </c>
      <c r="C41">
        <v>2</v>
      </c>
      <c r="D41" s="33">
        <v>1850000</v>
      </c>
    </row>
    <row r="42" spans="1:4">
      <c r="A42" s="12" t="s">
        <v>82</v>
      </c>
      <c r="B42" t="s">
        <v>115</v>
      </c>
      <c r="C42">
        <v>1</v>
      </c>
      <c r="D42" s="33">
        <v>750000</v>
      </c>
    </row>
  </sheetData>
  <phoneticPr fontId="15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"/>
  <sheetViews>
    <sheetView topLeftCell="A37" workbookViewId="0">
      <selection activeCell="C38" sqref="C38"/>
    </sheetView>
  </sheetViews>
  <sheetFormatPr defaultRowHeight="14.4"/>
  <cols>
    <col min="1" max="1" width="37" customWidth="1"/>
    <col min="2" max="2" width="60" customWidth="1"/>
    <col min="3" max="3" width="30" customWidth="1"/>
    <col min="4" max="4" width="19" customWidth="1"/>
    <col min="5" max="5" width="14.21875" customWidth="1"/>
  </cols>
  <sheetData>
    <row r="1" spans="1:4" ht="16.8">
      <c r="A1" s="10" t="s">
        <v>98</v>
      </c>
    </row>
    <row r="2" spans="1:4">
      <c r="A2" s="2" t="s">
        <v>99</v>
      </c>
    </row>
    <row r="3" spans="1:4">
      <c r="A3" s="2" t="s">
        <v>89</v>
      </c>
    </row>
    <row r="5" spans="1:4">
      <c r="A5" s="3" t="s">
        <v>90</v>
      </c>
    </row>
    <row r="6" spans="1:4" ht="36" customHeight="1">
      <c r="A6" s="15" t="s">
        <v>16</v>
      </c>
      <c r="B6" s="39" t="s">
        <v>142</v>
      </c>
      <c r="C6" s="17" t="s">
        <v>91</v>
      </c>
    </row>
    <row r="7" spans="1:4" ht="55.8" customHeight="1">
      <c r="A7" s="15" t="s">
        <v>92</v>
      </c>
      <c r="B7" s="39" t="s">
        <v>144</v>
      </c>
      <c r="C7" s="17" t="s">
        <v>93</v>
      </c>
    </row>
    <row r="8" spans="1:4" ht="36" customHeight="1">
      <c r="A8" s="15" t="s">
        <v>94</v>
      </c>
      <c r="B8" s="16" t="s">
        <v>143</v>
      </c>
    </row>
    <row r="10" spans="1:4">
      <c r="A10" s="3" t="s">
        <v>95</v>
      </c>
    </row>
    <row r="11" spans="1:4">
      <c r="A11" s="18" t="s">
        <v>134</v>
      </c>
    </row>
    <row r="12" spans="1:4">
      <c r="A12" s="28" t="s">
        <v>137</v>
      </c>
      <c r="B12" s="11" t="s">
        <v>25</v>
      </c>
      <c r="C12" s="11" t="s">
        <v>26</v>
      </c>
      <c r="D12" s="11" t="s">
        <v>27</v>
      </c>
    </row>
    <row r="13" spans="1:4">
      <c r="A13" t="s">
        <v>36</v>
      </c>
      <c r="B13" t="s">
        <v>37</v>
      </c>
      <c r="C13" s="12" t="s">
        <v>38</v>
      </c>
      <c r="D13" t="s">
        <v>135</v>
      </c>
    </row>
    <row r="14" spans="1:4">
      <c r="A14" t="s">
        <v>47</v>
      </c>
      <c r="B14" t="s">
        <v>48</v>
      </c>
      <c r="C14" s="12" t="s">
        <v>49</v>
      </c>
      <c r="D14" t="s">
        <v>50</v>
      </c>
    </row>
    <row r="15" spans="1:4">
      <c r="A15" t="s">
        <v>58</v>
      </c>
      <c r="B15" t="s">
        <v>59</v>
      </c>
      <c r="C15" s="12" t="s">
        <v>60</v>
      </c>
      <c r="D15" t="s">
        <v>61</v>
      </c>
    </row>
    <row r="17" spans="1:3">
      <c r="A17" s="18" t="s">
        <v>136</v>
      </c>
    </row>
    <row r="18" spans="1:3">
      <c r="A18" s="28" t="s">
        <v>138</v>
      </c>
      <c r="B18" s="11" t="s">
        <v>31</v>
      </c>
    </row>
    <row r="19" spans="1:3">
      <c r="A19" t="s">
        <v>64</v>
      </c>
      <c r="B19" s="40" t="s">
        <v>65</v>
      </c>
    </row>
    <row r="20" spans="1:3">
      <c r="A20" t="s">
        <v>119</v>
      </c>
      <c r="B20" s="40" t="s">
        <v>120</v>
      </c>
    </row>
    <row r="21" spans="1:3">
      <c r="A21" t="s">
        <v>113</v>
      </c>
      <c r="B21" s="40" t="s">
        <v>114</v>
      </c>
    </row>
    <row r="23" spans="1:3">
      <c r="A23" s="18" t="s">
        <v>127</v>
      </c>
    </row>
    <row r="24" spans="1:3">
      <c r="A24" s="28" t="s">
        <v>129</v>
      </c>
      <c r="B24" s="11" t="s">
        <v>29</v>
      </c>
      <c r="C24" s="11" t="s">
        <v>139</v>
      </c>
    </row>
    <row r="25" spans="1:3">
      <c r="A25" t="s">
        <v>108</v>
      </c>
      <c r="B25" t="s">
        <v>109</v>
      </c>
      <c r="C25" s="19" t="s">
        <v>64</v>
      </c>
    </row>
    <row r="26" spans="1:3">
      <c r="A26" t="s">
        <v>62</v>
      </c>
      <c r="B26" t="s">
        <v>63</v>
      </c>
      <c r="C26" s="19" t="s">
        <v>64</v>
      </c>
    </row>
    <row r="27" spans="1:3">
      <c r="A27" t="s">
        <v>117</v>
      </c>
      <c r="B27" t="s">
        <v>118</v>
      </c>
      <c r="C27" s="19" t="s">
        <v>119</v>
      </c>
    </row>
    <row r="28" spans="1:3">
      <c r="A28" t="s">
        <v>121</v>
      </c>
      <c r="B28" t="s">
        <v>122</v>
      </c>
      <c r="C28" s="19" t="s">
        <v>119</v>
      </c>
    </row>
    <row r="29" spans="1:3">
      <c r="A29" t="s">
        <v>111</v>
      </c>
      <c r="B29" t="s">
        <v>112</v>
      </c>
      <c r="C29" s="19" t="s">
        <v>113</v>
      </c>
    </row>
    <row r="30" spans="1:3">
      <c r="A30" t="s">
        <v>115</v>
      </c>
      <c r="B30" t="s">
        <v>116</v>
      </c>
      <c r="C30" s="19" t="s">
        <v>113</v>
      </c>
    </row>
    <row r="32" spans="1:3">
      <c r="A32" s="18" t="s">
        <v>140</v>
      </c>
    </row>
    <row r="33" spans="1:5">
      <c r="A33" s="28" t="s">
        <v>128</v>
      </c>
      <c r="B33" s="11" t="s">
        <v>23</v>
      </c>
      <c r="C33" s="11" t="s">
        <v>24</v>
      </c>
    </row>
    <row r="34" spans="1:5">
      <c r="A34" s="12" t="s">
        <v>35</v>
      </c>
      <c r="B34" s="13">
        <v>46266</v>
      </c>
      <c r="C34" s="19" t="s">
        <v>36</v>
      </c>
    </row>
    <row r="35" spans="1:5">
      <c r="A35" s="27" t="s">
        <v>46</v>
      </c>
      <c r="B35" s="13">
        <v>46275</v>
      </c>
      <c r="C35" s="19" t="s">
        <v>47</v>
      </c>
    </row>
    <row r="36" spans="1:5">
      <c r="A36" s="12" t="s">
        <v>57</v>
      </c>
      <c r="B36" s="13">
        <v>46277</v>
      </c>
      <c r="C36" s="19" t="s">
        <v>58</v>
      </c>
    </row>
    <row r="37" spans="1:5">
      <c r="A37" s="27" t="s">
        <v>68</v>
      </c>
      <c r="B37" s="13">
        <v>46280</v>
      </c>
      <c r="C37" s="19" t="s">
        <v>36</v>
      </c>
    </row>
    <row r="38" spans="1:5">
      <c r="A38" s="12" t="s">
        <v>75</v>
      </c>
      <c r="B38" s="13">
        <v>46283</v>
      </c>
      <c r="C38" s="19" t="s">
        <v>47</v>
      </c>
    </row>
    <row r="39" spans="1:5">
      <c r="A39" s="27" t="s">
        <v>82</v>
      </c>
      <c r="B39" s="13">
        <v>46285</v>
      </c>
      <c r="C39" s="19" t="s">
        <v>58</v>
      </c>
    </row>
    <row r="41" spans="1:5">
      <c r="A41" s="18" t="s">
        <v>130</v>
      </c>
    </row>
    <row r="42" spans="1:5">
      <c r="A42" s="28" t="s">
        <v>106</v>
      </c>
      <c r="B42" s="28" t="s">
        <v>107</v>
      </c>
      <c r="C42" s="11" t="s">
        <v>32</v>
      </c>
      <c r="D42" s="11" t="s">
        <v>33</v>
      </c>
      <c r="E42" s="11" t="s">
        <v>141</v>
      </c>
    </row>
    <row r="43" spans="1:5">
      <c r="A43" s="12" t="s">
        <v>35</v>
      </c>
      <c r="B43" t="s">
        <v>108</v>
      </c>
      <c r="C43" s="19">
        <v>1</v>
      </c>
      <c r="D43" s="38" t="s">
        <v>110</v>
      </c>
      <c r="E43" s="38" t="s">
        <v>110</v>
      </c>
    </row>
    <row r="44" spans="1:5">
      <c r="A44" s="12" t="s">
        <v>35</v>
      </c>
      <c r="B44" t="s">
        <v>111</v>
      </c>
      <c r="C44" s="19">
        <v>2</v>
      </c>
      <c r="D44" s="33">
        <v>150000</v>
      </c>
      <c r="E44" s="33">
        <f>SUM(D44*C44)</f>
        <v>300000</v>
      </c>
    </row>
    <row r="45" spans="1:5">
      <c r="A45" s="12" t="s">
        <v>46</v>
      </c>
      <c r="B45" t="s">
        <v>115</v>
      </c>
      <c r="C45" s="19">
        <v>1</v>
      </c>
      <c r="D45" s="33">
        <v>750000</v>
      </c>
      <c r="E45" s="33">
        <f t="shared" ref="E45:E54" si="0">SUM(D45*C45)</f>
        <v>750000</v>
      </c>
    </row>
    <row r="46" spans="1:5">
      <c r="A46" s="12" t="s">
        <v>46</v>
      </c>
      <c r="B46" t="s">
        <v>111</v>
      </c>
      <c r="C46" s="19">
        <v>1</v>
      </c>
      <c r="D46" s="33">
        <v>150000</v>
      </c>
      <c r="E46" s="33">
        <f t="shared" si="0"/>
        <v>150000</v>
      </c>
    </row>
    <row r="47" spans="1:5">
      <c r="A47" s="12" t="s">
        <v>57</v>
      </c>
      <c r="B47" t="s">
        <v>62</v>
      </c>
      <c r="C47" s="19">
        <v>3</v>
      </c>
      <c r="D47" s="33">
        <v>350000</v>
      </c>
      <c r="E47" s="33">
        <f t="shared" si="0"/>
        <v>1050000</v>
      </c>
    </row>
    <row r="48" spans="1:5">
      <c r="A48" s="12" t="s">
        <v>68</v>
      </c>
      <c r="B48" t="s">
        <v>117</v>
      </c>
      <c r="C48" s="19">
        <v>10</v>
      </c>
      <c r="D48" s="33">
        <v>25000</v>
      </c>
      <c r="E48" s="33">
        <f t="shared" si="0"/>
        <v>250000</v>
      </c>
    </row>
    <row r="49" spans="1:5">
      <c r="A49" s="12" t="s">
        <v>68</v>
      </c>
      <c r="B49" t="s">
        <v>121</v>
      </c>
      <c r="C49" s="19">
        <v>2</v>
      </c>
      <c r="D49" s="33">
        <v>48000</v>
      </c>
      <c r="E49" s="33">
        <f t="shared" si="0"/>
        <v>96000</v>
      </c>
    </row>
    <row r="50" spans="1:5">
      <c r="A50" s="12" t="s">
        <v>75</v>
      </c>
      <c r="B50" t="s">
        <v>62</v>
      </c>
      <c r="C50" s="19">
        <v>1</v>
      </c>
      <c r="D50" s="33">
        <v>375000</v>
      </c>
      <c r="E50" s="33">
        <f t="shared" si="0"/>
        <v>375000</v>
      </c>
    </row>
    <row r="51" spans="1:5">
      <c r="A51" s="12" t="s">
        <v>75</v>
      </c>
      <c r="B51" t="s">
        <v>117</v>
      </c>
      <c r="C51" s="19">
        <v>5</v>
      </c>
      <c r="D51" s="33">
        <v>25000</v>
      </c>
      <c r="E51" s="33">
        <f t="shared" si="0"/>
        <v>125000</v>
      </c>
    </row>
    <row r="52" spans="1:5">
      <c r="A52" s="12" t="s">
        <v>75</v>
      </c>
      <c r="B52" t="s">
        <v>121</v>
      </c>
      <c r="C52" s="19">
        <v>1</v>
      </c>
      <c r="D52" s="33">
        <v>48000</v>
      </c>
      <c r="E52" s="33">
        <f t="shared" si="0"/>
        <v>48000</v>
      </c>
    </row>
    <row r="53" spans="1:5">
      <c r="A53" s="12" t="s">
        <v>82</v>
      </c>
      <c r="B53" t="s">
        <v>108</v>
      </c>
      <c r="C53" s="19">
        <v>2</v>
      </c>
      <c r="D53" s="33">
        <v>1850000</v>
      </c>
      <c r="E53" s="33">
        <f t="shared" si="0"/>
        <v>3700000</v>
      </c>
    </row>
    <row r="54" spans="1:5">
      <c r="A54" s="12" t="s">
        <v>82</v>
      </c>
      <c r="B54" t="s">
        <v>115</v>
      </c>
      <c r="C54" s="19">
        <v>1</v>
      </c>
      <c r="D54" s="33">
        <v>750000</v>
      </c>
      <c r="E54" s="33">
        <f t="shared" si="0"/>
        <v>750000</v>
      </c>
    </row>
  </sheetData>
  <phoneticPr fontId="1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CE5C-8B98-4AD8-8E74-86F89517074D}">
  <dimension ref="A1:U27"/>
  <sheetViews>
    <sheetView tabSelected="1" workbookViewId="0">
      <selection sqref="A1:U27"/>
    </sheetView>
  </sheetViews>
  <sheetFormatPr defaultRowHeight="14.4"/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</row>
    <row r="11" spans="1:2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</row>
    <row r="12" spans="1:2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</row>
    <row r="13" spans="1:2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</row>
    <row r="14" spans="1:2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</row>
    <row r="16" spans="1:2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</row>
    <row r="17" spans="1:2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</row>
    <row r="18" spans="1:2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</row>
    <row r="20" spans="1:2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</row>
    <row r="21" spans="1: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  <row r="22" spans="1:2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</row>
    <row r="23" spans="1:2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</row>
    <row r="24" spans="1:2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</row>
    <row r="25" spans="1:2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</row>
    <row r="26" spans="1:2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pans="1:2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</row>
  </sheetData>
  <mergeCells count="1">
    <mergeCell ref="A1:U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7049-AD99-4170-8BFC-EC8164500438}">
  <dimension ref="A1:A135"/>
  <sheetViews>
    <sheetView workbookViewId="0">
      <selection activeCell="H9" sqref="H9:I9"/>
    </sheetView>
  </sheetViews>
  <sheetFormatPr defaultRowHeight="14.4"/>
  <cols>
    <col min="1" max="1" width="144.5546875" customWidth="1"/>
  </cols>
  <sheetData>
    <row r="1" spans="1:1">
      <c r="A1" s="44" t="s">
        <v>187</v>
      </c>
    </row>
    <row r="2" spans="1:1">
      <c r="A2" s="44" t="s">
        <v>188</v>
      </c>
    </row>
    <row r="3" spans="1:1">
      <c r="A3" s="46" t="s">
        <v>189</v>
      </c>
    </row>
    <row r="4" spans="1:1">
      <c r="A4" s="44" t="s">
        <v>190</v>
      </c>
    </row>
    <row r="5" spans="1:1">
      <c r="A5" s="44" t="s">
        <v>191</v>
      </c>
    </row>
    <row r="6" spans="1:1">
      <c r="A6" s="26"/>
    </row>
    <row r="7" spans="1:1">
      <c r="A7" s="44" t="s">
        <v>192</v>
      </c>
    </row>
    <row r="8" spans="1:1">
      <c r="A8" s="44" t="s">
        <v>191</v>
      </c>
    </row>
    <row r="9" spans="1:1">
      <c r="A9" s="26"/>
    </row>
    <row r="10" spans="1:1">
      <c r="A10" s="44" t="s">
        <v>193</v>
      </c>
    </row>
    <row r="11" spans="1:1">
      <c r="A11" s="46" t="s">
        <v>194</v>
      </c>
    </row>
    <row r="12" spans="1:1">
      <c r="A12" s="46" t="s">
        <v>195</v>
      </c>
    </row>
    <row r="13" spans="1:1">
      <c r="A13" s="46" t="s">
        <v>196</v>
      </c>
    </row>
    <row r="14" spans="1:1">
      <c r="A14" s="46" t="s">
        <v>197</v>
      </c>
    </row>
    <row r="15" spans="1:1">
      <c r="A15" s="26"/>
    </row>
    <row r="16" spans="1:1">
      <c r="A16" s="46" t="s">
        <v>198</v>
      </c>
    </row>
    <row r="17" spans="1:1">
      <c r="A17" s="48" t="s">
        <v>199</v>
      </c>
    </row>
    <row r="18" spans="1:1">
      <c r="A18" s="44" t="s">
        <v>191</v>
      </c>
    </row>
    <row r="19" spans="1:1">
      <c r="A19" s="26"/>
    </row>
    <row r="20" spans="1:1">
      <c r="A20" s="44" t="s">
        <v>200</v>
      </c>
    </row>
    <row r="21" spans="1:1">
      <c r="A21" s="44" t="s">
        <v>201</v>
      </c>
    </row>
    <row r="22" spans="1:1">
      <c r="A22" s="44" t="s">
        <v>202</v>
      </c>
    </row>
    <row r="23" spans="1:1">
      <c r="A23" s="44" t="s">
        <v>191</v>
      </c>
    </row>
    <row r="24" spans="1:1">
      <c r="A24" s="26"/>
    </row>
    <row r="25" spans="1:1">
      <c r="A25" s="44" t="s">
        <v>203</v>
      </c>
    </row>
    <row r="26" spans="1:1">
      <c r="A26" s="46" t="s">
        <v>204</v>
      </c>
    </row>
    <row r="27" spans="1:1">
      <c r="A27" s="46" t="s">
        <v>205</v>
      </c>
    </row>
    <row r="28" spans="1:1">
      <c r="A28" s="46" t="s">
        <v>206</v>
      </c>
    </row>
    <row r="29" spans="1:1">
      <c r="A29" s="26"/>
    </row>
    <row r="30" spans="1:1">
      <c r="A30" s="46" t="s">
        <v>207</v>
      </c>
    </row>
    <row r="31" spans="1:1">
      <c r="A31" s="46" t="s">
        <v>208</v>
      </c>
    </row>
    <row r="32" spans="1:1">
      <c r="A32" s="46" t="s">
        <v>209</v>
      </c>
    </row>
    <row r="33" spans="1:1">
      <c r="A33" s="48" t="s">
        <v>199</v>
      </c>
    </row>
    <row r="34" spans="1:1">
      <c r="A34" s="44" t="s">
        <v>191</v>
      </c>
    </row>
    <row r="35" spans="1:1">
      <c r="A35" s="26"/>
    </row>
    <row r="36" spans="1:1">
      <c r="A36" s="44" t="s">
        <v>210</v>
      </c>
    </row>
    <row r="37" spans="1:1">
      <c r="A37" s="46" t="s">
        <v>211</v>
      </c>
    </row>
    <row r="38" spans="1:1">
      <c r="A38" s="46" t="s">
        <v>212</v>
      </c>
    </row>
    <row r="39" spans="1:1">
      <c r="A39" s="46" t="s">
        <v>205</v>
      </c>
    </row>
    <row r="40" spans="1:1">
      <c r="A40" s="46" t="s">
        <v>213</v>
      </c>
    </row>
    <row r="41" spans="1:1">
      <c r="A41" s="46" t="s">
        <v>214</v>
      </c>
    </row>
    <row r="42" spans="1:1">
      <c r="A42" s="26"/>
    </row>
    <row r="43" spans="1:1">
      <c r="A43" s="46" t="s">
        <v>215</v>
      </c>
    </row>
    <row r="44" spans="1:1">
      <c r="A44" s="46" t="s">
        <v>216</v>
      </c>
    </row>
    <row r="45" spans="1:1">
      <c r="A45" s="46" t="s">
        <v>217</v>
      </c>
    </row>
    <row r="46" spans="1:1">
      <c r="A46" s="46" t="s">
        <v>218</v>
      </c>
    </row>
    <row r="47" spans="1:1">
      <c r="A47" s="46" t="s">
        <v>219</v>
      </c>
    </row>
    <row r="48" spans="1:1">
      <c r="A48" s="48" t="s">
        <v>199</v>
      </c>
    </row>
    <row r="49" spans="1:1">
      <c r="A49" s="44" t="s">
        <v>191</v>
      </c>
    </row>
    <row r="50" spans="1:1">
      <c r="A50" s="26"/>
    </row>
    <row r="51" spans="1:1">
      <c r="A51" s="44" t="s">
        <v>220</v>
      </c>
    </row>
    <row r="52" spans="1:1">
      <c r="A52" s="46" t="s">
        <v>221</v>
      </c>
    </row>
    <row r="53" spans="1:1">
      <c r="A53" s="46" t="s">
        <v>222</v>
      </c>
    </row>
    <row r="54" spans="1:1">
      <c r="A54" s="46" t="s">
        <v>223</v>
      </c>
    </row>
    <row r="55" spans="1:1">
      <c r="A55" s="26"/>
    </row>
    <row r="56" spans="1:1">
      <c r="A56" s="46" t="s">
        <v>224</v>
      </c>
    </row>
    <row r="57" spans="1:1">
      <c r="A57" s="46" t="s">
        <v>225</v>
      </c>
    </row>
    <row r="58" spans="1:1">
      <c r="A58" s="46" t="s">
        <v>226</v>
      </c>
    </row>
    <row r="59" spans="1:1">
      <c r="A59" s="48" t="s">
        <v>199</v>
      </c>
    </row>
    <row r="60" spans="1:1">
      <c r="A60" s="44" t="s">
        <v>191</v>
      </c>
    </row>
    <row r="61" spans="1:1">
      <c r="A61" s="26"/>
    </row>
    <row r="62" spans="1:1">
      <c r="A62" s="44" t="s">
        <v>227</v>
      </c>
    </row>
    <row r="63" spans="1:1">
      <c r="A63" s="46" t="s">
        <v>228</v>
      </c>
    </row>
    <row r="64" spans="1:1">
      <c r="A64" s="46" t="s">
        <v>229</v>
      </c>
    </row>
    <row r="65" spans="1:1">
      <c r="A65" s="46" t="s">
        <v>230</v>
      </c>
    </row>
    <row r="66" spans="1:1">
      <c r="A66" s="46" t="s">
        <v>213</v>
      </c>
    </row>
    <row r="67" spans="1:1">
      <c r="A67" s="26"/>
    </row>
    <row r="68" spans="1:1">
      <c r="A68" s="46" t="s">
        <v>231</v>
      </c>
    </row>
    <row r="69" spans="1:1">
      <c r="A69" s="46" t="s">
        <v>232</v>
      </c>
    </row>
    <row r="70" spans="1:1">
      <c r="A70" s="46" t="s">
        <v>233</v>
      </c>
    </row>
    <row r="71" spans="1:1">
      <c r="A71" s="46" t="s">
        <v>234</v>
      </c>
    </row>
    <row r="72" spans="1:1">
      <c r="A72" s="46" t="s">
        <v>235</v>
      </c>
    </row>
    <row r="73" spans="1:1">
      <c r="A73" s="46" t="s">
        <v>236</v>
      </c>
    </row>
    <row r="74" spans="1:1">
      <c r="A74" s="46" t="s">
        <v>237</v>
      </c>
    </row>
    <row r="75" spans="1:1">
      <c r="A75" s="48" t="s">
        <v>199</v>
      </c>
    </row>
    <row r="76" spans="1:1">
      <c r="A76" s="44" t="s">
        <v>191</v>
      </c>
    </row>
    <row r="77" spans="1:1">
      <c r="A77" s="26"/>
    </row>
    <row r="78" spans="1:1">
      <c r="A78" s="44" t="s">
        <v>183</v>
      </c>
    </row>
    <row r="79" spans="1:1">
      <c r="A79" s="44" t="s">
        <v>158</v>
      </c>
    </row>
    <row r="80" spans="1:1">
      <c r="A80" s="44" t="s">
        <v>238</v>
      </c>
    </row>
    <row r="81" spans="1:1">
      <c r="A81" s="44" t="s">
        <v>239</v>
      </c>
    </row>
    <row r="82" spans="1:1">
      <c r="A82" s="44" t="s">
        <v>240</v>
      </c>
    </row>
    <row r="83" spans="1:1">
      <c r="A83" s="44" t="s">
        <v>191</v>
      </c>
    </row>
    <row r="84" spans="1:1">
      <c r="A84" s="26"/>
    </row>
    <row r="85" spans="1:1">
      <c r="A85" s="44" t="s">
        <v>241</v>
      </c>
    </row>
    <row r="86" spans="1:1">
      <c r="A86" s="44" t="s">
        <v>158</v>
      </c>
    </row>
    <row r="87" spans="1:1">
      <c r="A87" s="44" t="s">
        <v>242</v>
      </c>
    </row>
    <row r="88" spans="1:1">
      <c r="A88" s="44" t="s">
        <v>243</v>
      </c>
    </row>
    <row r="89" spans="1:1">
      <c r="A89" s="44" t="s">
        <v>244</v>
      </c>
    </row>
    <row r="90" spans="1:1">
      <c r="A90" s="44" t="s">
        <v>191</v>
      </c>
    </row>
    <row r="91" spans="1:1">
      <c r="A91" s="26"/>
    </row>
    <row r="92" spans="1:1">
      <c r="A92" s="44" t="s">
        <v>245</v>
      </c>
    </row>
    <row r="93" spans="1:1">
      <c r="A93" s="44" t="s">
        <v>158</v>
      </c>
    </row>
    <row r="94" spans="1:1">
      <c r="A94" s="44" t="s">
        <v>246</v>
      </c>
    </row>
    <row r="95" spans="1:1">
      <c r="A95" s="44" t="s">
        <v>247</v>
      </c>
    </row>
    <row r="96" spans="1:1">
      <c r="A96" s="44" t="s">
        <v>248</v>
      </c>
    </row>
    <row r="97" spans="1:1">
      <c r="A97" s="44" t="s">
        <v>249</v>
      </c>
    </row>
    <row r="98" spans="1:1">
      <c r="A98" s="44" t="s">
        <v>250</v>
      </c>
    </row>
    <row r="99" spans="1:1">
      <c r="A99" s="44" t="s">
        <v>251</v>
      </c>
    </row>
    <row r="100" spans="1:1">
      <c r="A100" s="44" t="s">
        <v>191</v>
      </c>
    </row>
    <row r="101" spans="1:1">
      <c r="A101" s="26"/>
    </row>
    <row r="102" spans="1:1">
      <c r="A102" s="44" t="s">
        <v>176</v>
      </c>
    </row>
    <row r="103" spans="1:1">
      <c r="A103" s="44" t="s">
        <v>158</v>
      </c>
    </row>
    <row r="104" spans="1:1">
      <c r="A104" s="44" t="s">
        <v>252</v>
      </c>
    </row>
    <row r="105" spans="1:1">
      <c r="A105" s="44" t="s">
        <v>253</v>
      </c>
    </row>
    <row r="106" spans="1:1">
      <c r="A106" s="44" t="s">
        <v>254</v>
      </c>
    </row>
    <row r="107" spans="1:1">
      <c r="A107" s="44" t="s">
        <v>255</v>
      </c>
    </row>
    <row r="108" spans="1:1">
      <c r="A108" s="44" t="s">
        <v>256</v>
      </c>
    </row>
    <row r="109" spans="1:1">
      <c r="A109" s="44" t="s">
        <v>257</v>
      </c>
    </row>
    <row r="110" spans="1:1">
      <c r="A110" s="44" t="s">
        <v>191</v>
      </c>
    </row>
    <row r="111" spans="1:1">
      <c r="A111" s="26"/>
    </row>
    <row r="112" spans="1:1">
      <c r="A112" s="26"/>
    </row>
    <row r="113" spans="1:1">
      <c r="A113" s="44" t="s">
        <v>174</v>
      </c>
    </row>
    <row r="114" spans="1:1">
      <c r="A114" s="44" t="s">
        <v>158</v>
      </c>
    </row>
    <row r="115" spans="1:1">
      <c r="A115" s="26"/>
    </row>
    <row r="116" spans="1:1">
      <c r="A116" s="44" t="s">
        <v>258</v>
      </c>
    </row>
    <row r="117" spans="1:1">
      <c r="A117" s="44" t="s">
        <v>259</v>
      </c>
    </row>
    <row r="118" spans="1:1">
      <c r="A118" s="44" t="s">
        <v>260</v>
      </c>
    </row>
    <row r="119" spans="1:1">
      <c r="A119" s="44" t="s">
        <v>261</v>
      </c>
    </row>
    <row r="120" spans="1:1">
      <c r="A120" s="44" t="s">
        <v>262</v>
      </c>
    </row>
    <row r="121" spans="1:1">
      <c r="A121" s="44" t="s">
        <v>263</v>
      </c>
    </row>
    <row r="122" spans="1:1">
      <c r="A122" s="44" t="s">
        <v>264</v>
      </c>
    </row>
    <row r="123" spans="1:1">
      <c r="A123" s="44" t="s">
        <v>265</v>
      </c>
    </row>
    <row r="124" spans="1:1">
      <c r="A124" s="44" t="s">
        <v>266</v>
      </c>
    </row>
    <row r="125" spans="1:1">
      <c r="A125" s="44" t="s">
        <v>267</v>
      </c>
    </row>
    <row r="126" spans="1:1">
      <c r="A126" s="44" t="s">
        <v>268</v>
      </c>
    </row>
    <row r="127" spans="1:1">
      <c r="A127" s="44" t="s">
        <v>269</v>
      </c>
    </row>
    <row r="128" spans="1:1">
      <c r="A128" s="26"/>
    </row>
    <row r="129" spans="1:1">
      <c r="A129" s="44" t="s">
        <v>191</v>
      </c>
    </row>
    <row r="130" spans="1:1">
      <c r="A130" s="26"/>
    </row>
    <row r="131" spans="1:1">
      <c r="A131" s="44" t="s">
        <v>270</v>
      </c>
    </row>
    <row r="132" spans="1:1">
      <c r="A132" s="44" t="s">
        <v>271</v>
      </c>
    </row>
    <row r="133" spans="1:1">
      <c r="A133" s="44" t="s">
        <v>272</v>
      </c>
    </row>
    <row r="134" spans="1:1">
      <c r="A134" s="44" t="s">
        <v>273</v>
      </c>
    </row>
    <row r="135" spans="1:1">
      <c r="A135" s="44" t="s">
        <v>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19C9-4FF8-4F33-83FA-D2DEEA885144}">
  <dimension ref="A1:B76"/>
  <sheetViews>
    <sheetView topLeftCell="A55" workbookViewId="0">
      <selection activeCell="E55" sqref="E55"/>
    </sheetView>
  </sheetViews>
  <sheetFormatPr defaultRowHeight="14.4"/>
  <cols>
    <col min="1" max="1" width="76.33203125" customWidth="1"/>
    <col min="2" max="2" width="24.6640625" customWidth="1"/>
  </cols>
  <sheetData>
    <row r="1" spans="1:1">
      <c r="A1" s="44" t="s">
        <v>145</v>
      </c>
    </row>
    <row r="2" spans="1:1">
      <c r="A2" s="44" t="s">
        <v>146</v>
      </c>
    </row>
    <row r="3" spans="1:1">
      <c r="A3" s="44" t="s">
        <v>147</v>
      </c>
    </row>
    <row r="4" spans="1:1">
      <c r="A4" s="26"/>
    </row>
    <row r="5" spans="1:1">
      <c r="A5" s="45" t="s">
        <v>148</v>
      </c>
    </row>
    <row r="6" spans="1:1">
      <c r="A6" s="44" t="s">
        <v>149</v>
      </c>
    </row>
    <row r="7" spans="1:1">
      <c r="A7" s="44" t="s">
        <v>150</v>
      </c>
    </row>
    <row r="8" spans="1:1">
      <c r="A8" s="46" t="s">
        <v>151</v>
      </c>
    </row>
    <row r="9" spans="1:1">
      <c r="A9" s="46" t="s">
        <v>152</v>
      </c>
    </row>
    <row r="10" spans="1:1">
      <c r="A10" s="44" t="s">
        <v>153</v>
      </c>
    </row>
    <row r="11" spans="1:1">
      <c r="A11" s="26"/>
    </row>
    <row r="12" spans="1:1">
      <c r="A12" s="44" t="s">
        <v>154</v>
      </c>
    </row>
    <row r="13" spans="1:1">
      <c r="A13" s="26"/>
    </row>
    <row r="14" spans="1:1">
      <c r="A14" s="45" t="s">
        <v>148</v>
      </c>
    </row>
    <row r="15" spans="1:1">
      <c r="A15" s="44" t="s">
        <v>155</v>
      </c>
    </row>
    <row r="16" spans="1:1">
      <c r="A16" s="44" t="s">
        <v>156</v>
      </c>
    </row>
    <row r="17" spans="1:2">
      <c r="A17" s="26"/>
    </row>
    <row r="18" spans="1:2">
      <c r="A18" s="47">
        <f>--1</f>
        <v>1</v>
      </c>
      <c r="B18" t="s">
        <v>186</v>
      </c>
    </row>
    <row r="19" spans="1:2">
      <c r="A19" s="44" t="s">
        <v>157</v>
      </c>
    </row>
    <row r="20" spans="1:2">
      <c r="A20" s="44" t="s">
        <v>158</v>
      </c>
    </row>
    <row r="21" spans="1:2">
      <c r="A21" s="44" t="s">
        <v>159</v>
      </c>
    </row>
    <row r="22" spans="1:2">
      <c r="A22" s="26"/>
    </row>
    <row r="23" spans="1:2">
      <c r="A23" s="47">
        <f>--2</f>
        <v>2</v>
      </c>
    </row>
    <row r="24" spans="1:2">
      <c r="A24" s="45" t="s">
        <v>160</v>
      </c>
    </row>
    <row r="25" spans="1:2">
      <c r="A25" s="44" t="s">
        <v>161</v>
      </c>
    </row>
    <row r="26" spans="1:2">
      <c r="A26" s="44" t="s">
        <v>162</v>
      </c>
    </row>
    <row r="27" spans="1:2">
      <c r="A27" s="26"/>
    </row>
    <row r="28" spans="1:2">
      <c r="A28" s="47">
        <f>--3</f>
        <v>3</v>
      </c>
    </row>
    <row r="29" spans="1:2">
      <c r="A29" s="45" t="s">
        <v>160</v>
      </c>
    </row>
    <row r="30" spans="1:2">
      <c r="A30" s="44" t="s">
        <v>163</v>
      </c>
    </row>
    <row r="31" spans="1:2">
      <c r="A31" s="44" t="s">
        <v>164</v>
      </c>
    </row>
    <row r="32" spans="1:2">
      <c r="A32" s="26"/>
    </row>
    <row r="33" spans="1:1">
      <c r="A33" s="45" t="s">
        <v>160</v>
      </c>
    </row>
    <row r="34" spans="1:1">
      <c r="A34" s="44" t="s">
        <v>165</v>
      </c>
    </row>
    <row r="35" spans="1:1">
      <c r="A35" s="44" t="s">
        <v>162</v>
      </c>
    </row>
    <row r="36" spans="1:1">
      <c r="A36" s="26"/>
    </row>
    <row r="37" spans="1:1">
      <c r="A37" s="45" t="s">
        <v>160</v>
      </c>
    </row>
    <row r="38" spans="1:1">
      <c r="A38" s="44" t="s">
        <v>166</v>
      </c>
    </row>
    <row r="39" spans="1:1">
      <c r="A39" s="44" t="s">
        <v>167</v>
      </c>
    </row>
    <row r="40" spans="1:1">
      <c r="A40" s="26"/>
    </row>
    <row r="41" spans="1:1">
      <c r="A41" s="45" t="s">
        <v>160</v>
      </c>
    </row>
    <row r="42" spans="1:1">
      <c r="A42" s="44" t="s">
        <v>168</v>
      </c>
    </row>
    <row r="43" spans="1:1">
      <c r="A43" s="44" t="s">
        <v>169</v>
      </c>
    </row>
    <row r="44" spans="1:1">
      <c r="A44" s="26"/>
    </row>
    <row r="45" spans="1:1">
      <c r="A45" s="45" t="s">
        <v>160</v>
      </c>
    </row>
    <row r="46" spans="1:1">
      <c r="A46" s="44" t="s">
        <v>170</v>
      </c>
    </row>
    <row r="47" spans="1:1">
      <c r="A47" s="44" t="s">
        <v>171</v>
      </c>
    </row>
    <row r="48" spans="1:1">
      <c r="A48" s="26"/>
    </row>
    <row r="49" spans="1:2">
      <c r="A49" s="45" t="s">
        <v>160</v>
      </c>
    </row>
    <row r="50" spans="1:2">
      <c r="A50" s="44" t="s">
        <v>172</v>
      </c>
    </row>
    <row r="51" spans="1:2">
      <c r="A51" s="44" t="s">
        <v>173</v>
      </c>
    </row>
    <row r="52" spans="1:2">
      <c r="A52" s="26"/>
    </row>
    <row r="53" spans="1:2">
      <c r="A53" s="47">
        <f>--1</f>
        <v>1</v>
      </c>
      <c r="B53" t="s">
        <v>185</v>
      </c>
    </row>
    <row r="54" spans="1:2">
      <c r="A54" s="44" t="s">
        <v>174</v>
      </c>
    </row>
    <row r="55" spans="1:2">
      <c r="A55" s="44" t="s">
        <v>175</v>
      </c>
    </row>
    <row r="56" spans="1:2">
      <c r="A56" s="26"/>
    </row>
    <row r="57" spans="1:2">
      <c r="A57" s="47">
        <f>--2</f>
        <v>2</v>
      </c>
    </row>
    <row r="58" spans="1:2">
      <c r="A58" s="44" t="s">
        <v>176</v>
      </c>
    </row>
    <row r="59" spans="1:2">
      <c r="A59" s="44" t="s">
        <v>177</v>
      </c>
    </row>
    <row r="60" spans="1:2">
      <c r="A60" s="26"/>
    </row>
    <row r="61" spans="1:2">
      <c r="A61" s="47">
        <f>--3</f>
        <v>3</v>
      </c>
    </row>
    <row r="62" spans="1:2">
      <c r="A62" s="44" t="s">
        <v>178</v>
      </c>
    </row>
    <row r="63" spans="1:2">
      <c r="A63" s="44" t="s">
        <v>179</v>
      </c>
    </row>
    <row r="64" spans="1:2">
      <c r="A64" s="26"/>
    </row>
    <row r="65" spans="1:1">
      <c r="A65" s="47">
        <f>--4</f>
        <v>4</v>
      </c>
    </row>
    <row r="66" spans="1:1">
      <c r="A66" s="44" t="s">
        <v>180</v>
      </c>
    </row>
    <row r="67" spans="1:1">
      <c r="A67" s="44" t="s">
        <v>157</v>
      </c>
    </row>
    <row r="68" spans="1:1">
      <c r="A68" s="44" t="s">
        <v>158</v>
      </c>
    </row>
    <row r="69" spans="1:1">
      <c r="A69" s="44" t="s">
        <v>181</v>
      </c>
    </row>
    <row r="70" spans="1:1">
      <c r="A70" s="44" t="s">
        <v>182</v>
      </c>
    </row>
    <row r="71" spans="1:1">
      <c r="A71" s="26"/>
    </row>
    <row r="72" spans="1:1">
      <c r="A72" s="47">
        <f>--5</f>
        <v>5</v>
      </c>
    </row>
    <row r="73" spans="1:1">
      <c r="A73" s="44" t="s">
        <v>180</v>
      </c>
    </row>
    <row r="74" spans="1:1">
      <c r="A74" s="44" t="s">
        <v>183</v>
      </c>
    </row>
    <row r="75" spans="1:1">
      <c r="A75" s="44" t="s">
        <v>184</v>
      </c>
    </row>
    <row r="76" spans="1:1">
      <c r="A76" s="4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Petunjuk</vt:lpstr>
      <vt:lpstr>1_UNF</vt:lpstr>
      <vt:lpstr>2_1NF</vt:lpstr>
      <vt:lpstr>3_2NF</vt:lpstr>
      <vt:lpstr>4_3NF</vt:lpstr>
      <vt:lpstr>ERD</vt:lpstr>
      <vt:lpstr>DDL DATABASE</vt:lpstr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Bagas Ruliansyah</cp:lastModifiedBy>
  <dcterms:created xsi:type="dcterms:W3CDTF">2026-09-22T00:06:03Z</dcterms:created>
  <dcterms:modified xsi:type="dcterms:W3CDTF">2026-09-24T09:47:30Z</dcterms:modified>
</cp:coreProperties>
</file>